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fabiodezanet/Documents/carrer fabiodezanet/Portfolio/Portfolio-GRC-analyst/Project-01-Cyber-Risk-Register/"/>
    </mc:Choice>
  </mc:AlternateContent>
  <xr:revisionPtr revIDLastSave="0" documentId="8_{ED58D780-E8B0-E04F-8C31-D66ABD76AB43}" xr6:coauthVersionLast="47" xr6:coauthVersionMax="47" xr10:uidLastSave="{00000000-0000-0000-0000-000000000000}"/>
  <bookViews>
    <workbookView xWindow="0" yWindow="660" windowWidth="30240" windowHeight="17480" xr2:uid="{5024D824-9522-4340-AC42-46D217EBD175}"/>
  </bookViews>
  <sheets>
    <sheet name="Company profile" sheetId="1" r:id="rId1"/>
    <sheet name="Risk Methodology" sheetId="2" r:id="rId2"/>
    <sheet name="Risk registrer" sheetId="3" r:id="rId3"/>
    <sheet name="Executive summary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" i="3" l="1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H3" i="3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L2" i="3"/>
  <c r="M2" i="3" s="1"/>
  <c r="H2" i="3"/>
  <c r="I2" i="3" s="1"/>
  <c r="F17" i="2"/>
  <c r="G17" i="2" s="1"/>
  <c r="F19" i="2"/>
  <c r="G19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8" i="2"/>
  <c r="G18" i="2" s="1"/>
</calcChain>
</file>

<file path=xl/sharedStrings.xml><?xml version="1.0" encoding="utf-8"?>
<sst xmlns="http://schemas.openxmlformats.org/spreadsheetml/2006/main" count="404" uniqueCount="360">
  <si>
    <t>MediConnect Health S.r.l.</t>
  </si>
  <si>
    <t>Settore</t>
  </si>
  <si>
    <t>Pazienti registrati</t>
  </si>
  <si>
    <t>MediConnect Health
Cyber Risk Assessment – Company Profile</t>
  </si>
  <si>
    <t>Campo</t>
  </si>
  <si>
    <t>Informazione</t>
  </si>
  <si>
    <t>Nome compagnia</t>
  </si>
  <si>
    <t>Telehealth / Digital Healthcare</t>
  </si>
  <si>
    <t>Headquarters</t>
  </si>
  <si>
    <t>Italy</t>
  </si>
  <si>
    <t>Geographic Scope</t>
  </si>
  <si>
    <t>European Union</t>
  </si>
  <si>
    <t>Impiegati</t>
  </si>
  <si>
    <t>Modello di lavoro</t>
  </si>
  <si>
    <t>Remote-first</t>
  </si>
  <si>
    <t>Servizio principale</t>
  </si>
  <si>
    <t>Online medical consultations</t>
  </si>
  <si>
    <t>Assessment Scope</t>
  </si>
  <si>
    <t>Cybersecurity risks affecting the telehealth service</t>
  </si>
  <si>
    <t>Assessment Period</t>
  </si>
  <si>
    <t>Prepared By</t>
  </si>
  <si>
    <t>Fabio De Zanet</t>
  </si>
  <si>
    <t>Role</t>
  </si>
  <si>
    <t>Junior Cybersecurity Risk Analyst</t>
  </si>
  <si>
    <t>Document Status</t>
  </si>
  <si>
    <t>Draft</t>
  </si>
  <si>
    <t>Version</t>
  </si>
  <si>
    <t>1.0</t>
  </si>
  <si>
    <t>Business Description</t>
  </si>
  <si>
    <t>Process ID</t>
  </si>
  <si>
    <t>Business Process</t>
  </si>
  <si>
    <t>Description</t>
  </si>
  <si>
    <t>BP-01</t>
  </si>
  <si>
    <t>BP-02</t>
  </si>
  <si>
    <t>BP-03</t>
  </si>
  <si>
    <t>BP-04</t>
  </si>
  <si>
    <t>BP-05</t>
  </si>
  <si>
    <t>BP-06</t>
  </si>
  <si>
    <t>BP-07</t>
  </si>
  <si>
    <t>BP-08</t>
  </si>
  <si>
    <t>BP-09</t>
  </si>
  <si>
    <t>BP-10</t>
  </si>
  <si>
    <t>Patient Registration</t>
  </si>
  <si>
    <t>Creazione e gestione degli account dei pazienti</t>
  </si>
  <si>
    <t>High</t>
  </si>
  <si>
    <t>Appointment Booking</t>
  </si>
  <si>
    <t>Prenotazione e gestione delle visite</t>
  </si>
  <si>
    <t>Medical Consultation</t>
  </si>
  <si>
    <t>Erogazione delle consultazioni online</t>
  </si>
  <si>
    <t>Critical</t>
  </si>
  <si>
    <t>Health Record Management</t>
  </si>
  <si>
    <t>Digital Prescriptions</t>
  </si>
  <si>
    <t>Payment Processing</t>
  </si>
  <si>
    <t>Patient Communication</t>
  </si>
  <si>
    <t>Customer Support</t>
  </si>
  <si>
    <t>Employee Access Management</t>
  </si>
  <si>
    <t>Regulatory Compliance</t>
  </si>
  <si>
    <t>Archiviazione e consultazione dei dati sanitari</t>
  </si>
  <si>
    <t>Creazione e trasmissione delle prescrizioni</t>
  </si>
  <si>
    <t>Gestione dei pagamenti online</t>
  </si>
  <si>
    <t>Messaggi tra pazienti e professionisti sanitari</t>
  </si>
  <si>
    <t>Assistenza tecnica e amministrativa</t>
  </si>
  <si>
    <t>Creazione, modifica e revoca degli accessi</t>
  </si>
  <si>
    <t>Gestione degli obblighi privacy e sicurezza</t>
  </si>
  <si>
    <t>Medium</t>
  </si>
  <si>
    <t>Significato delle criticità</t>
  </si>
  <si>
    <t>Score</t>
  </si>
  <si>
    <t>Likelihood</t>
  </si>
  <si>
    <t>Rare</t>
  </si>
  <si>
    <t>Unlikely</t>
  </si>
  <si>
    <t>Possible</t>
  </si>
  <si>
    <t>Likely</t>
  </si>
  <si>
    <t>Evento improbabile, nessuna evidenza recente</t>
  </si>
  <si>
    <t>Potrebbe accadere, ma in condizioni particolari</t>
  </si>
  <si>
    <t>Potrebbe accadere in base all’esposizione attuale</t>
  </si>
  <si>
    <t>Probabile a causa di debolezze esistenti</t>
  </si>
  <si>
    <t>Molto probabile o già accaduto più volte</t>
  </si>
  <si>
    <t>Minimal</t>
  </si>
  <si>
    <t>Minor</t>
  </si>
  <si>
    <t>Moderate</t>
  </si>
  <si>
    <t>Major</t>
  </si>
  <si>
    <t>Severe</t>
  </si>
  <si>
    <t>Impatto limitato, facilmente recuperabile</t>
  </si>
  <si>
    <t>Piccola interruzione o basso impatto operativo</t>
  </si>
  <si>
    <t>Interruzione visibile o impatto compliance moderato</t>
  </si>
  <si>
    <t>Impatto significativo, dati sensibili esposti o danno reputazionale</t>
  </si>
  <si>
    <t>Grave violazione, fermo critico, impatto su pazienti o sanzioni importanti</t>
  </si>
  <si>
    <t>Impact</t>
  </si>
  <si>
    <t>Critical assets</t>
  </si>
  <si>
    <t>Key Stakeholders</t>
  </si>
  <si>
    <t>CISO</t>
  </si>
  <si>
    <t>Security Objectives</t>
  </si>
  <si>
    <t>Confidentiality</t>
  </si>
  <si>
    <t>Integrity</t>
  </si>
  <si>
    <t>Availability</t>
  </si>
  <si>
    <t>Privacy</t>
  </si>
  <si>
    <t>Accountability</t>
  </si>
  <si>
    <t>Resilience</t>
  </si>
  <si>
    <t>Compliance</t>
  </si>
  <si>
    <t>Proteggere i dati sanitari</t>
  </si>
  <si>
    <t>Evitare modifiche non autorizzate</t>
  </si>
  <si>
    <t>Mantenere disponibili i servizi</t>
  </si>
  <si>
    <t>Trattare correttamente i dati personali</t>
  </si>
  <si>
    <t>Tracciare chi fa cosa</t>
  </si>
  <si>
    <t>Ripristinare dopo incidenti</t>
  </si>
  <si>
    <t>Rispettare obblighi normativi</t>
  </si>
  <si>
    <t>MediConnect Health è un’azienda europea fittizia di telemedicina che offre consulenze mediche da remoto attraverso una piattaforma web e mobile. I pazienti possono creare un account, prenotare appuntamenti, comunicare con professionisti sanitari, caricare documenti medici, ricevere prescrizioni ed effettuare pagamenti online. L’azienda tratta dati personali e sanitari e dipende in larga misura da servizi cloud e fornitori tecnologici esterni.</t>
  </si>
  <si>
    <t>Database dei dati sanitari dei pazienti</t>
  </si>
  <si>
    <t>Applicazione web di telemedicina</t>
  </si>
  <si>
    <t>Applicazione mobile</t>
  </si>
  <si>
    <t>Infrastruttura cloud AWS</t>
  </si>
  <si>
    <t>Piattaforma per le cartelle cliniche elettroniche</t>
  </si>
  <si>
    <t>Ambiente Microsoft 365</t>
  </si>
  <si>
    <t>Laptop dei dipendenti</t>
  </si>
  <si>
    <t>Dispositivi dei professionisti sanitari</t>
  </si>
  <si>
    <t>Sistemi di backup</t>
  </si>
  <si>
    <t>Fornitore del servizio di videoconsulto</t>
  </si>
  <si>
    <t>Fornitore dei servizi di pagamento</t>
  </si>
  <si>
    <t>Dipendenti e professionisti sanitari</t>
  </si>
  <si>
    <t>Registri di sicurezza</t>
  </si>
  <si>
    <t>Reputazione aziendale</t>
  </si>
  <si>
    <t>Credenziali degli utenti</t>
  </si>
  <si>
    <t>Consiglio di amministrazione</t>
  </si>
  <si>
    <t>Amministratore delegato</t>
  </si>
  <si>
    <t>Responsabile IT</t>
  </si>
  <si>
    <t>Responsabile della protezione dei dati</t>
  </si>
  <si>
    <t>Direttore clinico</t>
  </si>
  <si>
    <t>Responsabile della gestione del rischio</t>
  </si>
  <si>
    <t>Responsabili dei sistemi</t>
  </si>
  <si>
    <t>Fornitori terzi</t>
  </si>
  <si>
    <t>Risk Assestment scope</t>
  </si>
  <si>
    <t>Il perimetro dell’assessment include i rischi di cybersecurity relativi alla piattaforma di telemedicina, all’infrastruttura cloud, ai dati dei pazienti, agli utenti interni, ai fornitori terzi e ai processi aziendali critici di MediConnect Health. Sono esclusi dal perimetro la sicurezza fisica, la responsabilità professionale sanitaria e i rischi finanziari generali, salvo quando tali rischi derivano direttamente da un incidente informatico.</t>
  </si>
  <si>
    <t>Risk score</t>
  </si>
  <si>
    <t>Risk rating</t>
  </si>
  <si>
    <t>Risk rating criteria</t>
  </si>
  <si>
    <t>Risk Score Range</t>
  </si>
  <si>
    <t>Risk Rating</t>
  </si>
  <si>
    <t>Meaning</t>
  </si>
  <si>
    <t>1–4</t>
  </si>
  <si>
    <t>5–9</t>
  </si>
  <si>
    <t>10–15</t>
  </si>
  <si>
    <t>16–25</t>
  </si>
  <si>
    <t>Low</t>
  </si>
  <si>
    <t>Rischio basso, monitoraggio ordinario</t>
  </si>
  <si>
    <t>Rischio medio, attenzione del management</t>
  </si>
  <si>
    <t>Rischio alto, remediation pianificata</t>
  </si>
  <si>
    <t>Rischio critico, intervento urgente</t>
  </si>
  <si>
    <t>Risk score formula</t>
  </si>
  <si>
    <t>Item</t>
  </si>
  <si>
    <t>Formula</t>
  </si>
  <si>
    <t>Likelihood x Impact</t>
  </si>
  <si>
    <t>Minimum score</t>
  </si>
  <si>
    <t>Maximum score</t>
  </si>
  <si>
    <t>Example</t>
  </si>
  <si>
    <t>4x5=20</t>
  </si>
  <si>
    <t>Treatment options</t>
  </si>
  <si>
    <t>Mitigate</t>
  </si>
  <si>
    <t>Accept</t>
  </si>
  <si>
    <t>Transfer</t>
  </si>
  <si>
    <t>Avoid</t>
  </si>
  <si>
    <t>Ridurre il rischio implementando o migliorando controlli</t>
  </si>
  <si>
    <t>Accettare formalmente il rischio se rientra nella risk appetite</t>
  </si>
  <si>
    <t>Trasferire parte del rischio tramite assicurazione, contratto o fornitore</t>
  </si>
  <si>
    <t>Eliminare l’attività o il processo che genera il rischio</t>
  </si>
  <si>
    <t>Almost certain</t>
  </si>
  <si>
    <t>Low: rischio basso, gestibile con monitoraggio ordinario.                                                                  Medium: rischio medio, richiede attenzione del managment e trattamento pianificato.                                                                                                                                                           High: rischio alto, richiede remediation tempestiva e assegnazione di un owner.                                                                                                                                                     Critical: rischio critico, richiede intervento urgente e visibilità del senior managment.</t>
  </si>
  <si>
    <t>Inherent vs residual risk</t>
  </si>
  <si>
    <t>Risk Type</t>
  </si>
  <si>
    <t>Inherent Risk</t>
  </si>
  <si>
    <t>Rischio esistente prima di considerare i controlli attuali.</t>
  </si>
  <si>
    <t>Residual Risk</t>
  </si>
  <si>
    <t>Rischio che rimane dopo aver considerato i controlli attuali.</t>
  </si>
  <si>
    <t>Risk ID</t>
  </si>
  <si>
    <t>Risk Statement</t>
  </si>
  <si>
    <t>Asset / Process</t>
  </si>
  <si>
    <t>Threat / Cause</t>
  </si>
  <si>
    <t>Current Controls</t>
  </si>
  <si>
    <t>Inherent Likelihood</t>
  </si>
  <si>
    <t>Inherent Impact</t>
  </si>
  <si>
    <t>Inherent Score</t>
  </si>
  <si>
    <t>Inherent Rating</t>
  </si>
  <si>
    <t>Residual Likelihood</t>
  </si>
  <si>
    <t>Residual Impact</t>
  </si>
  <si>
    <t>Residual Score</t>
  </si>
  <si>
    <t>Residual Rating</t>
  </si>
  <si>
    <t>Treatment Option</t>
  </si>
  <si>
    <t>Recommended Treatment Plan</t>
  </si>
  <si>
    <t>Risk Owner</t>
  </si>
  <si>
    <t>R-01</t>
  </si>
  <si>
    <t>A causa di un’autenticazione debole, esiste il rischio di accesso non autorizzato agli account dei pazienti, con possibile esposizione di dati sanitari, sanzioni GDPR e danno reputazionale.</t>
  </si>
  <si>
    <t>Autenticazione debole, MFA non applicata a tutti gli utenti</t>
  </si>
  <si>
    <t>Login con password e blocco base dell’account dopo tentativi falliti</t>
  </si>
  <si>
    <t>R-02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</si>
  <si>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</si>
  <si>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</si>
  <si>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</si>
  <si>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</si>
  <si>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</si>
  <si>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</si>
  <si>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</si>
  <si>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</si>
  <si>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</si>
  <si>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</si>
  <si>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</si>
  <si>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</si>
  <si>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</si>
  <si>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</si>
  <si>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</si>
  <si>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A-15 Credenziali degli utenti / BP-01 Patient Registration</t>
  </si>
  <si>
    <t>Implementare MFA per tutti gli utenti, rafforzare la password policy, introdurre autenticazione adattiva e monitoraggio dei login sospetti.</t>
  </si>
  <si>
    <t>R-03</t>
  </si>
  <si>
    <t>R-04</t>
  </si>
  <si>
    <t>R-05</t>
  </si>
  <si>
    <t>A causa di attacchi di phishing verso dipendenti in remote work, esiste il rischio di furto delle credenziali, con possibile accesso non autorizzato ai sistemi interni e ai dati dei pazienti.</t>
  </si>
  <si>
    <t>A-06 Ambiente Microsoft 365 + A-12 Dipendenti e professionisti sanitari / BP-09 Employee Access Management</t>
  </si>
  <si>
    <t>Phishing, remote work, uso intensivo di email aziendale</t>
  </si>
  <si>
    <t>Email filtering e formazione annuale sulla security awareness</t>
  </si>
  <si>
    <t>Introdurre simulazioni di phishing, MFA su tutti gli account, conditional access, formazione periodica e alert sui login anomali.</t>
  </si>
  <si>
    <t>Security Awareness Lead</t>
  </si>
  <si>
    <t>A causa di configurazioni errate nel cloud storage, esiste il rischio di esposizione pubblica dei referti e dei dati sanitari, con obbligo di notifica GDPR e perdita di fiducia dei pazienti.</t>
  </si>
  <si>
    <t>A-01 Database dei dati sanitari dei pazienti + A-04 Infrastruttura cloud AWS / BP-04 Health Record Management</t>
  </si>
  <si>
    <t>Cloud misconfiguration, permessi eccessivi, storage esposto</t>
  </si>
  <si>
    <t>Controlli IAM e revisione manuale degli amministratori</t>
  </si>
  <si>
    <t>Abilitare CSPM, bloccare l’accesso pubblico allo storage, applicare encryption, least privilege, monitoraggio configurazioni e alert automatici.</t>
  </si>
  <si>
    <t>Cloud Engineer</t>
  </si>
  <si>
    <t>A causa di componenti applicativi non aggiornati, esiste il rischio di sfruttamento di vulnerabilità note, con possibile compromissione della piattaforma di telemedicina.</t>
  </si>
  <si>
    <t>A-02 Applicazione web di telemedicina / BP-03 Medical Consultation</t>
  </si>
  <si>
    <t>Componenti software vulnerabili, patching non tempestivo</t>
  </si>
  <si>
    <t>Patching mensile e vulnerability scanning periodico</t>
  </si>
  <si>
    <t>Definire SLA per la remediation delle vulnerabilità, applicare patch critiche settimanalmente, introdurre SAST/DAST e dependency scanning.</t>
  </si>
  <si>
    <t>Application Security Lead</t>
  </si>
  <si>
    <t>A causa di test di ripristino insufficienti, esiste il rischio che un attacco ransomware provochi una lunga interruzione del servizio e perdita di disponibilità dei dati sanitari.</t>
  </si>
  <si>
    <t>A-09 Sistemi di backup + A-01 Database dei dati sanitari dei pazienti / BP-04 Health Record Management</t>
  </si>
  <si>
    <t>Ransomware, backup non testati regolarmente, recovery incerta</t>
  </si>
  <si>
    <t>Backup giornalieri e cloud snapshots</t>
  </si>
  <si>
    <t>Implementare immutable backups, test di restore trimestrali, definire RTO/RPO e creare un ransomware recovery playbook.</t>
  </si>
  <si>
    <t>IT Operations Manager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</si>
  <si>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</si>
  <si>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</si>
  <si>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</si>
  <si>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</si>
  <si>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</si>
  <si>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</si>
  <si>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</si>
  <si>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</si>
  <si>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</si>
  <si>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</si>
  <si>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A causa di controlli insufficienti sui dispositivi dei professionisti sanitari, esiste il rischio che dispositivi personali non sicuri accedano ai dati dei pazienti, causando data leakage e violazioni privacy.</t>
  </si>
  <si>
    <t>A-08 Dispositivi dei professionisti sanitari / BP-03 Medical Consultation</t>
  </si>
  <si>
    <t>Accesso consentito con credenziali aziendali</t>
  </si>
  <si>
    <t>BYOD, endpoint non gestiti, assenza di MDM</t>
  </si>
  <si>
    <t>Introdurre MDM, device compliance check, encryption obbligatoria, blocco dei dispositivi non conformi e policy BYOD.</t>
  </si>
  <si>
    <t>IT Manager</t>
  </si>
  <si>
    <t>A causa di privilegi eccessivi, esiste il rischio che dipendenti o professionisti accedano a dati sanitari non necessari, causando violazioni di privacy e mancato rispetto del principio di least privilege.</t>
  </si>
  <si>
    <t>A-15 Credenziali degli utenti + A-01 Database dei dati sanitari dei pazienti / BP-09 Employee Access Management</t>
  </si>
  <si>
    <t>Accessi eccessivi, ruoli non revisionati</t>
  </si>
  <si>
    <t>Role-based access control e approvazione del manager</t>
  </si>
  <si>
    <t>Eseguire access review trimestrali, applicare least privilege, segregazione dei ruoli, logging degli accessi e revoca tempestiva degli utenti non necessari.</t>
  </si>
  <si>
    <t>Data Protection Officer</t>
  </si>
  <si>
    <t>A causa di monitoraggio non centralizzato, esiste il rischio di rilevare in ritardo attività sospette, aumentando il tempo di permanenza dell’attaccante nei sistemi aziendali.</t>
  </si>
  <si>
    <t>A-13 Registri di sicurezza / BP-10 Regulatory Compliance</t>
  </si>
  <si>
    <t>Logging incompleto, assenza di SIEM centralizzato</t>
  </si>
  <si>
    <t>Log locali sui principali sistemi</t>
  </si>
  <si>
    <t>Implementare SIEM, centralizzare i log, definire alert per accessi anomali, conservazione log e procedure di incident response.</t>
  </si>
  <si>
    <t>SOC Lead</t>
  </si>
  <si>
    <t>A causa di controlli insufficienti sui fornitori SaaS, esiste il rischio che una violazione presso un vendor critico causi indisponibilità del servizio o esposizione di dati dei pazienti.</t>
  </si>
  <si>
    <t>A-10 Fornitore del servizio di videoconsulto + A-11 Fornitore dei servizi di pagamento / BP-06 Payment Processing</t>
  </si>
  <si>
    <t>Vendor risk, dipendenza da terze parti, controlli contrattuali deboli</t>
  </si>
  <si>
    <t>Contratti standard e questionari security iniziali</t>
  </si>
  <si>
    <t>Transfer/ Mitigate</t>
  </si>
  <si>
    <t>Rafforzare vendor risk assessment, richiedere report SOC 2 o ISO 27001, SLA di sicurezza, clausole GDPR, audit right e piano di exit strategy.</t>
  </si>
  <si>
    <t>Vendor Manager</t>
  </si>
  <si>
    <t>A causa di protezione insufficiente delle API, esiste il rischio di accesso non autorizzato a dati di prenotazioni, profili paziente o referti, causando data leakage.</t>
  </si>
  <si>
    <t>A-02 Applicazione web di telemedicina + A-03 Applicazione mobile / BP-02 Appointment Booking</t>
  </si>
  <si>
    <t>API vulnerabili, autenticazione debole, assenza di rate limiting</t>
  </si>
  <si>
    <t>HTTPS e API key di base</t>
  </si>
  <si>
    <t>Implementare API gateway, OAuth 2.0, rate limiting, input validation, API security testing e monitoraggio delle chiamate anomale.</t>
  </si>
  <si>
    <t>A causa di retention policy non definita, esiste il rischio che dati sanitari vengano conservati più a lungo del necessario, aumentando esposizione privacy e impatto in caso di data breach.</t>
  </si>
  <si>
    <t>A-01 Database dei dati sanitari dei pazienti / BP-10 Regulatory Compliance</t>
  </si>
  <si>
    <t>Mancanza di retention policy, data lifecycle non formalizzato</t>
  </si>
  <si>
    <t>Cancellazione manuale su richiesta</t>
  </si>
  <si>
    <t>Definire data retention policy, automatizzare deletion workflow, documentare legal hold e verificare periodicamente la conformità GDPR.</t>
  </si>
  <si>
    <t>A causa di processo Joiner-Mover-Leaver parzialmente manuale, esiste il rischio che account di ex dipendenti restino attivi, causando accesso non autorizzato ai sistemi aziendali.</t>
  </si>
  <si>
    <t>A-15 Credenziali degli utenti / BP-09 Employee Access Management</t>
  </si>
  <si>
    <t>Offboarding manuale, revoca accessi ritardata</t>
  </si>
  <si>
    <t>Richieste via ticket e approvazione manager</t>
  </si>
  <si>
    <t>Automatizzare il processo JML, integrare HR system con IAM, revoca immediata all’uscita, review account inattivi e controllo mensile degli accessi.</t>
  </si>
  <si>
    <t>A causa di formazione security awareness limitata, esiste il rischio che dipendenti gestiscano male dati sanitari o credenziali, causando incidenti di sicurezza e violazioni privacy.</t>
  </si>
  <si>
    <t>A-12 Dipendenti e professionisti sanitari / BP-07 Patient Communication</t>
  </si>
  <si>
    <t>Training annuale insufficiente, errori umani, gestione impropria dati</t>
  </si>
  <si>
    <t>Formazione annuale obbligatoria</t>
  </si>
  <si>
    <t>Introdurre formazione trimestrale, micro-learning, simulazioni pratiche, policy reminder e misurazione dei risultati tramite KPI.</t>
  </si>
  <si>
    <t>A causa di configurazioni deboli dell’ambiente Microsoft 365, esiste il rischio di compromissione email e condivisione non autorizzata di documenti contenenti dati sensibili.</t>
  </si>
  <si>
    <t>A-06 Ambiente Microsoft 365 / BP-07 Patient Communication</t>
  </si>
  <si>
    <t>Email compromise, condivisioni eccessive, MFA non estesa</t>
  </si>
  <si>
    <t>Email filtering e permessi standard</t>
  </si>
  <si>
    <t>Applicare MFA, conditional access, DLP, classificazione documenti, alert su forwarding esterno e revisione delle sharing policy.</t>
  </si>
  <si>
    <t>Microsoft 365 Administrator</t>
  </si>
  <si>
    <t>A causa di assenza di un piano di incident response testato, esiste il rischio che l’azienda risponda lentamente a un data breach, aumentando danni, obblighi di notifica e impatto reputazionale.</t>
  </si>
  <si>
    <t>A-13 Registri di sicurezza + A-14 Reputazione aziendale / BP-10 Regulatory Compliance</t>
  </si>
  <si>
    <t>Incident response non testato, ruoli non chiari, escalation lenta</t>
  </si>
  <si>
    <t>Procedura base di escalation IT</t>
  </si>
  <si>
    <t>Formalizzare incident response plan, definire ruoli e contatti, eseguire tabletop exercise, integrare DPO e legal, e testare la notifica GDPR.</t>
  </si>
  <si>
    <t>MediConnect Health
Cyber Risk Assessment – Executive Summary</t>
  </si>
  <si>
    <t>Testo introduttivo</t>
  </si>
  <si>
    <t>Questa valutazione ha identificato 15 rischi di cybersecurity relativi alla piattaforma di telemedicina di MediConnect Health, ai dati sanitari dei pazienti, all’infrastruttura cloud, agli utenti interni, ai fornitori terzi e ai processi aziendali critici.
I rischi sono stati valutati utilizzando una scala Likelihood e Impact da 1 a 5. Il Risk Score è stato calcolato moltiplicando Likelihood × Impact. Sono stati inoltre valutati il rischio inerente e il rischio residuo, considerando i controlli attuali già presenti nell’organizzazione.</t>
  </si>
  <si>
    <t>Finding ID</t>
  </si>
  <si>
    <t>Key Finding</t>
  </si>
  <si>
    <t>KF-01</t>
  </si>
  <si>
    <t>KF-02</t>
  </si>
  <si>
    <t>KF-03</t>
  </si>
  <si>
    <t>KF-04</t>
  </si>
  <si>
    <t>KF-05</t>
  </si>
  <si>
    <t>I rischi più critici riguardano accesso non autorizzato agli account dei pazienti, cloud misconfiguration e ransomware.</t>
  </si>
  <si>
    <t>I dati sanitari dei pazienti rappresentano l’asset più sensibile e più esposto dal punto di vista privacy e compliance.</t>
  </si>
  <si>
    <t>L’assenza di MFA estesa a tutti gli utenti aumenta il rischio di compromissione account.</t>
  </si>
  <si>
    <t>La dipendenza da fornitori SaaS e cloud richiede un processo strutturato di vendor risk management.</t>
  </si>
  <si>
    <t>Il rischio residuo si riduce con controlli come MFA, SIEM, MDM, CSPM, backup immutabili e access review periodiche.</t>
  </si>
  <si>
    <t>Inherent risk count</t>
  </si>
  <si>
    <t>Risk residual count</t>
  </si>
  <si>
    <t>Rank</t>
  </si>
  <si>
    <t>Risk  Theme</t>
  </si>
  <si>
    <t>Perché è importante</t>
  </si>
  <si>
    <t>Prioroty</t>
  </si>
  <si>
    <t>Account compromise</t>
  </si>
  <si>
    <t>Cloud misconfiguration</t>
  </si>
  <si>
    <t>Ransomware / Backup recovery</t>
  </si>
  <si>
    <t>Third-party risk</t>
  </si>
  <si>
    <t>JML / Access management</t>
  </si>
  <si>
    <t>Può esporre dati sanitari e causare sanzioni GDPR</t>
  </si>
  <si>
    <t>Può rendere pubblici referti e dati paziente</t>
  </si>
  <si>
    <t>Può interrompere servizi sanitari e disponibilità dei dati</t>
  </si>
  <si>
    <t>Fornitori critici possono causare impatti su dati e continuità</t>
  </si>
  <si>
    <t>Account non revocati possono consentire accesso non autorizzato</t>
  </si>
  <si>
    <t>Recomendation ID</t>
  </si>
  <si>
    <t>Recomendation</t>
  </si>
  <si>
    <t>Expet benefit</t>
  </si>
  <si>
    <t>REC-01</t>
  </si>
  <si>
    <t>REC-02</t>
  </si>
  <si>
    <t>REC-03</t>
  </si>
  <si>
    <t>REC-04</t>
  </si>
  <si>
    <t>REC-05</t>
  </si>
  <si>
    <t>REC-06</t>
  </si>
  <si>
    <t>REC-07</t>
  </si>
  <si>
    <t>Estendere MFA a pazienti, dipendenti e professionisti sanitari.</t>
  </si>
  <si>
    <t>Implementare SIEM e centralizzare i log di sicurezza.</t>
  </si>
  <si>
    <t>Introdurre CSPM per il monitoraggio delle configurazioni cloud.</t>
  </si>
  <si>
    <t>Formalizzare vendor risk management per fornitori SaaS critici.</t>
  </si>
  <si>
    <t>Testare periodicamente backup e recovery plan.</t>
  </si>
  <si>
    <t>Automatizzare il processo Joiner-Mover-Leaver.</t>
  </si>
  <si>
    <t>Introdurre MDM per dispositivi dei professionisti sanitari.</t>
  </si>
  <si>
    <t>Riduce il rischio di account compromise</t>
  </si>
  <si>
    <t>Migliora detection e incident response.</t>
  </si>
  <si>
    <t>Riduce il rischio di cloud misconfiguration</t>
  </si>
  <si>
    <t>Riduce il rischio derivante da terze parti</t>
  </si>
  <si>
    <t>Migliora resilienza contro ransomware e outage</t>
  </si>
  <si>
    <t>Riduce il rischio di account orfani o accessi non autorizzati</t>
  </si>
  <si>
    <t>Riduce il rischio BYOD ed endpoint non conformi</t>
  </si>
  <si>
    <t>Executive Conclusion</t>
  </si>
  <si>
    <t>La valutazione evidenzia che MediConnect Health presenta un’esposizione significativa sui rischi legati a identità digitali, dati sanitari, cloud security, backup recovery e fornitori terzi.
Le priorità di trattamento dovrebbero concentrarsi sull’estensione della MFA, sul miglioramento del monitoraggio tramite SIEM, sull’introduzione di controlli CSPM per l’ambiente cloud, sulla revisione periodica degli accessi e sul rafforzamento del processo di vendor risk management.
L’implementazione di questi controlli ridurrebbe in modo significativo il rischio residuo e migliorerebbe la capacità dell’organizzazione di proteggere dati sanitari, continuità del servizio e conformità normativa.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</si>
</sst>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7" xfId="0" applyBorder="1"/>
    <xf numFmtId="0" fontId="0" fillId="0" borderId="6" xfId="0" applyBorder="1"/>
    <xf numFmtId="0" fontId="0" fillId="0" borderId="1" xfId="0" applyBorder="1" applyAlignment="1">
      <alignment horizontal="right"/>
    </xf>
    <xf numFmtId="0" fontId="3" fillId="0" borderId="1" xfId="0" applyFont="1" applyBorder="1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6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CD157-CC3C-2A4A-B932-93B77EB5B5C8}" name="Tabella1" displayName="Tabella1" ref="A2:C7" totalsRowShown="0">
  <autoFilter ref="A2:C7" xr:uid="{28CCD157-CC3C-2A4A-B932-93B77EB5B5C8}"/>
  <tableColumns count="3">
    <tableColumn id="1" xr3:uid="{2610999E-9631-7947-9D6C-C9EA64056DEF}" name="Score" dataDxfId="5"/>
    <tableColumn id="2" xr3:uid="{758BD7BF-CEB6-414F-BEA4-E3C51CE735CD}" name="Likelihood"/>
    <tableColumn id="3" xr3:uid="{CF5BF9F2-5B5B-0D4B-BFF1-32D358FF513E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AC338-DD41-A145-9E6E-ADEED993028E}" name="Tabella14" displayName="Tabella14" ref="A9:C14" totalsRowShown="0">
  <autoFilter ref="A9:C14" xr:uid="{E3EAC338-DD41-A145-9E6E-ADEED993028E}"/>
  <tableColumns count="3">
    <tableColumn id="1" xr3:uid="{B52270CF-D3CB-4943-8DCC-9ADD53A11665}" name="Score" dataDxfId="4"/>
    <tableColumn id="2" xr3:uid="{739C12F4-CD1C-354E-9351-EF46C8A0BC5A}" name="Impact"/>
    <tableColumn id="3" xr3:uid="{275B09AD-9C5E-5F48-BBAA-D9592AE6FBE7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61727-39FD-214C-90E2-FD75C9C22BC2}" name="Tabella2" displayName="Tabella2" ref="A16:G26" totalsRowShown="0">
  <autoFilter ref="A16:G26" xr:uid="{CA561727-39FD-214C-90E2-FD75C9C22BC2}"/>
  <tableColumns count="7">
    <tableColumn id="1" xr3:uid="{2BA7A718-BEA3-904C-946C-D063C989DEDB}" name="Process ID"/>
    <tableColumn id="2" xr3:uid="{81F1F2D4-1D00-1B45-A66A-BF3F1CADCFD8}" name="Business Process"/>
    <tableColumn id="3" xr3:uid="{4A1A110B-E2F0-9446-A22F-581E865F3B01}" name="Description"/>
    <tableColumn id="4" xr3:uid="{68CF4776-5838-E442-B2BF-EE0F5DB610A2}" name="Likelihood" dataDxfId="3"/>
    <tableColumn id="5" xr3:uid="{98169095-CBC5-8F49-B4D9-A026AAE7D70A}" name="Impact" dataDxfId="2"/>
    <tableColumn id="6" xr3:uid="{A1A31344-E445-8842-A82B-210C3F8A53C5}" name="Risk score" dataDxfId="1"/>
    <tableColumn id="7" xr3:uid="{1F0A0168-5B47-CC4F-B8F2-867D67FAE9DF}" name="Risk rating" dataDxfId="0">
      <calculatedColumnFormula>IF(F17&gt;=16,"Critical",IF(F17&gt;=10,"High",IF(F17&gt;=5,"Medium","Low")))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C659A5-914E-444D-81CD-5FC29A2CA125}" name="Tabella6" displayName="Tabella6" ref="L12:N16" totalsRowShown="0">
  <autoFilter ref="L12:N16" xr:uid="{D7C659A5-914E-444D-81CD-5FC29A2CA125}"/>
  <tableColumns count="3">
    <tableColumn id="1" xr3:uid="{8E3C48A3-5B70-3341-80F2-7D12A1E5B2D9}" name="Risk Rating"/>
    <tableColumn id="2" xr3:uid="{3769FEA4-FF5D-1A43-A001-B2DF8AE37219}" name="Inherent risk count"/>
    <tableColumn id="3" xr3:uid="{7176024D-2560-9A42-8D72-6D9E88E14ABF}" name="Risk residual c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71AA-F41A-8849-80B5-CACE0C73BA6A}">
  <dimension ref="A1:K42"/>
  <sheetViews>
    <sheetView tabSelected="1" topLeftCell="A4" workbookViewId="0">
      <selection activeCell="A25" sqref="A25"/>
    </sheetView>
  </sheetViews>
  <sheetFormatPr baseColWidth="10" defaultRowHeight="16" x14ac:dyDescent="0.2"/>
  <cols>
    <col min="1" max="1" width="15.83203125" bestFit="1" customWidth="1"/>
    <col min="2" max="2" width="41.1640625" customWidth="1"/>
    <col min="3" max="3" width="18.33203125" bestFit="1" customWidth="1"/>
    <col min="4" max="4" width="32.33203125" bestFit="1" customWidth="1"/>
    <col min="5" max="6" width="39.6640625" bestFit="1" customWidth="1"/>
    <col min="8" max="8" width="11.33203125" customWidth="1"/>
    <col min="9" max="9" width="12.1640625" bestFit="1" customWidth="1"/>
    <col min="10" max="10" width="13.5" customWidth="1"/>
    <col min="11" max="11" width="59.1640625" customWidth="1"/>
  </cols>
  <sheetData>
    <row r="1" spans="1:11" ht="35" customHeight="1" x14ac:dyDescent="0.2">
      <c r="A1" s="21" t="s">
        <v>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">
      <c r="C2" s="7"/>
      <c r="K2" s="6"/>
    </row>
    <row r="3" spans="1:11" ht="16" customHeight="1" x14ac:dyDescent="0.2">
      <c r="A3" s="9" t="s">
        <v>4</v>
      </c>
      <c r="B3" s="9" t="s">
        <v>5</v>
      </c>
      <c r="C3" s="5"/>
      <c r="D3" s="32" t="s">
        <v>28</v>
      </c>
      <c r="E3" s="33"/>
      <c r="F3" s="33"/>
      <c r="G3" s="33"/>
      <c r="H3" s="33"/>
      <c r="I3" s="33"/>
      <c r="J3" s="34"/>
      <c r="K3" s="5"/>
    </row>
    <row r="4" spans="1:11" x14ac:dyDescent="0.2">
      <c r="A4" s="1" t="s">
        <v>6</v>
      </c>
      <c r="B4" s="1" t="s">
        <v>0</v>
      </c>
      <c r="C4" s="5"/>
      <c r="D4" s="23" t="s">
        <v>106</v>
      </c>
      <c r="E4" s="24"/>
      <c r="F4" s="24"/>
      <c r="G4" s="24"/>
      <c r="H4" s="24"/>
      <c r="I4" s="24"/>
      <c r="J4" s="25"/>
      <c r="K4" s="5"/>
    </row>
    <row r="5" spans="1:11" x14ac:dyDescent="0.2">
      <c r="A5" s="1" t="s">
        <v>1</v>
      </c>
      <c r="B5" s="1" t="s">
        <v>7</v>
      </c>
      <c r="C5" s="5"/>
      <c r="D5" s="26"/>
      <c r="E5" s="27"/>
      <c r="F5" s="27"/>
      <c r="G5" s="27"/>
      <c r="H5" s="27"/>
      <c r="I5" s="27"/>
      <c r="J5" s="28"/>
      <c r="K5" s="5"/>
    </row>
    <row r="6" spans="1:11" x14ac:dyDescent="0.2">
      <c r="A6" s="1" t="s">
        <v>8</v>
      </c>
      <c r="B6" s="1" t="s">
        <v>9</v>
      </c>
      <c r="C6" s="5"/>
      <c r="D6" s="26"/>
      <c r="E6" s="27"/>
      <c r="F6" s="27"/>
      <c r="G6" s="27"/>
      <c r="H6" s="27"/>
      <c r="I6" s="27"/>
      <c r="J6" s="28"/>
      <c r="K6" s="5"/>
    </row>
    <row r="7" spans="1:11" x14ac:dyDescent="0.2">
      <c r="A7" s="1" t="s">
        <v>10</v>
      </c>
      <c r="B7" s="1" t="s">
        <v>11</v>
      </c>
      <c r="C7" s="5"/>
      <c r="D7" s="26"/>
      <c r="E7" s="27"/>
      <c r="F7" s="27"/>
      <c r="G7" s="27"/>
      <c r="H7" s="27"/>
      <c r="I7" s="27"/>
      <c r="J7" s="28"/>
      <c r="K7" s="5"/>
    </row>
    <row r="8" spans="1:11" x14ac:dyDescent="0.2">
      <c r="A8" s="1" t="s">
        <v>12</v>
      </c>
      <c r="B8" s="1">
        <v>300</v>
      </c>
      <c r="C8" s="5"/>
      <c r="D8" s="26"/>
      <c r="E8" s="27"/>
      <c r="F8" s="27"/>
      <c r="G8" s="27"/>
      <c r="H8" s="27"/>
      <c r="I8" s="27"/>
      <c r="J8" s="28"/>
      <c r="K8" s="5"/>
    </row>
    <row r="9" spans="1:11" x14ac:dyDescent="0.2">
      <c r="A9" s="1" t="s">
        <v>2</v>
      </c>
      <c r="B9" s="2">
        <v>120</v>
      </c>
      <c r="D9" s="29"/>
      <c r="E9" s="30"/>
      <c r="F9" s="30"/>
      <c r="G9" s="30"/>
      <c r="H9" s="30"/>
      <c r="I9" s="30"/>
      <c r="J9" s="31"/>
    </row>
    <row r="10" spans="1:11" x14ac:dyDescent="0.2">
      <c r="A10" s="1" t="s">
        <v>13</v>
      </c>
      <c r="B10" s="1" t="s">
        <v>14</v>
      </c>
    </row>
    <row r="11" spans="1:11" x14ac:dyDescent="0.2">
      <c r="A11" s="1" t="s">
        <v>15</v>
      </c>
      <c r="B11" s="3" t="s">
        <v>16</v>
      </c>
    </row>
    <row r="12" spans="1:11" ht="16" customHeight="1" x14ac:dyDescent="0.2">
      <c r="A12" s="1" t="s">
        <v>17</v>
      </c>
      <c r="B12" s="1" t="s">
        <v>18</v>
      </c>
      <c r="D12" s="9" t="s">
        <v>89</v>
      </c>
    </row>
    <row r="13" spans="1:11" ht="17" customHeight="1" x14ac:dyDescent="0.2">
      <c r="A13" s="1" t="s">
        <v>19</v>
      </c>
      <c r="B13" s="1">
        <v>2026</v>
      </c>
      <c r="D13" s="1" t="s">
        <v>122</v>
      </c>
    </row>
    <row r="14" spans="1:11" x14ac:dyDescent="0.2">
      <c r="A14" s="1" t="s">
        <v>20</v>
      </c>
      <c r="B14" s="1" t="s">
        <v>21</v>
      </c>
      <c r="D14" s="1" t="s">
        <v>123</v>
      </c>
    </row>
    <row r="15" spans="1:11" x14ac:dyDescent="0.2">
      <c r="A15" s="1" t="s">
        <v>22</v>
      </c>
      <c r="B15" s="1" t="s">
        <v>23</v>
      </c>
      <c r="D15" s="1" t="s">
        <v>90</v>
      </c>
    </row>
    <row r="16" spans="1:11" x14ac:dyDescent="0.2">
      <c r="A16" s="1" t="s">
        <v>24</v>
      </c>
      <c r="B16" s="1" t="s">
        <v>25</v>
      </c>
      <c r="D16" s="1" t="s">
        <v>124</v>
      </c>
    </row>
    <row r="17" spans="1:5" x14ac:dyDescent="0.2">
      <c r="A17" s="1" t="s">
        <v>26</v>
      </c>
      <c r="B17" s="1" t="s">
        <v>27</v>
      </c>
      <c r="D17" s="1" t="s">
        <v>125</v>
      </c>
    </row>
    <row r="18" spans="1:5" x14ac:dyDescent="0.2">
      <c r="D18" s="1" t="s">
        <v>126</v>
      </c>
    </row>
    <row r="19" spans="1:5" x14ac:dyDescent="0.2">
      <c r="A19" s="18" t="s">
        <v>88</v>
      </c>
      <c r="B19" s="18"/>
      <c r="D19" s="1" t="s">
        <v>127</v>
      </c>
    </row>
    <row r="20" spans="1:5" x14ac:dyDescent="0.2">
      <c r="A20" s="15" t="s">
        <v>193</v>
      </c>
      <c r="B20" s="8" t="s">
        <v>107</v>
      </c>
      <c r="D20" s="1" t="s">
        <v>128</v>
      </c>
    </row>
    <row r="21" spans="1:5" x14ac:dyDescent="0.2">
      <c r="A21" s="15" t="s">
        <v>194</v>
      </c>
      <c r="B21" s="8" t="s">
        <v>108</v>
      </c>
      <c r="D21" s="1" t="s">
        <v>118</v>
      </c>
    </row>
    <row r="22" spans="1:5" x14ac:dyDescent="0.2">
      <c r="A22" s="15" t="s">
        <v>195</v>
      </c>
      <c r="B22" s="8" t="s">
        <v>109</v>
      </c>
      <c r="D22" s="1" t="s">
        <v>129</v>
      </c>
    </row>
    <row r="23" spans="1:5" x14ac:dyDescent="0.2">
      <c r="A23" s="15" t="s">
        <v>196</v>
      </c>
      <c r="B23" s="8" t="s">
        <v>110</v>
      </c>
    </row>
    <row r="24" spans="1:5" x14ac:dyDescent="0.2">
      <c r="A24" s="15" t="s">
        <v>197</v>
      </c>
      <c r="B24" s="8" t="s">
        <v>111</v>
      </c>
    </row>
    <row r="25" spans="1:5" x14ac:dyDescent="0.2">
      <c r="A25" s="15" t="s">
        <v>198</v>
      </c>
      <c r="B25" s="8" t="s">
        <v>112</v>
      </c>
      <c r="D25" s="18" t="s">
        <v>91</v>
      </c>
      <c r="E25" s="18"/>
    </row>
    <row r="26" spans="1:5" x14ac:dyDescent="0.2">
      <c r="A26" s="15" t="s">
        <v>199</v>
      </c>
      <c r="B26" s="8" t="s">
        <v>113</v>
      </c>
      <c r="D26" s="1" t="s">
        <v>92</v>
      </c>
      <c r="E26" s="1" t="s">
        <v>99</v>
      </c>
    </row>
    <row r="27" spans="1:5" x14ac:dyDescent="0.2">
      <c r="A27" s="15" t="s">
        <v>200</v>
      </c>
      <c r="B27" s="8" t="s">
        <v>114</v>
      </c>
      <c r="D27" s="1" t="s">
        <v>93</v>
      </c>
      <c r="E27" s="1" t="s">
        <v>100</v>
      </c>
    </row>
    <row r="28" spans="1:5" x14ac:dyDescent="0.2">
      <c r="A28" s="15" t="s">
        <v>201</v>
      </c>
      <c r="B28" s="8" t="s">
        <v>115</v>
      </c>
      <c r="D28" s="1" t="s">
        <v>94</v>
      </c>
      <c r="E28" s="1" t="s">
        <v>101</v>
      </c>
    </row>
    <row r="29" spans="1:5" x14ac:dyDescent="0.2">
      <c r="A29" s="15" t="s">
        <v>202</v>
      </c>
      <c r="B29" s="8" t="s">
        <v>116</v>
      </c>
      <c r="D29" s="1" t="s">
        <v>95</v>
      </c>
      <c r="E29" s="1" t="s">
        <v>102</v>
      </c>
    </row>
    <row r="30" spans="1:5" x14ac:dyDescent="0.2">
      <c r="A30" s="15" t="s">
        <v>203</v>
      </c>
      <c r="B30" s="8" t="s">
        <v>117</v>
      </c>
      <c r="D30" s="1" t="s">
        <v>96</v>
      </c>
      <c r="E30" s="1" t="s">
        <v>103</v>
      </c>
    </row>
    <row r="31" spans="1:5" x14ac:dyDescent="0.2">
      <c r="A31" s="15" t="s">
        <v>204</v>
      </c>
      <c r="B31" s="8" t="s">
        <v>118</v>
      </c>
      <c r="D31" s="1" t="s">
        <v>97</v>
      </c>
      <c r="E31" s="1" t="s">
        <v>104</v>
      </c>
    </row>
    <row r="32" spans="1:5" x14ac:dyDescent="0.2">
      <c r="A32" s="15" t="s">
        <v>205</v>
      </c>
      <c r="B32" s="8" t="s">
        <v>119</v>
      </c>
      <c r="D32" s="1" t="s">
        <v>98</v>
      </c>
      <c r="E32" s="1" t="s">
        <v>105</v>
      </c>
    </row>
    <row r="33" spans="1:5" x14ac:dyDescent="0.2">
      <c r="A33" s="15" t="s">
        <v>206</v>
      </c>
      <c r="B33" s="8" t="s">
        <v>120</v>
      </c>
    </row>
    <row r="34" spans="1:5" x14ac:dyDescent="0.2">
      <c r="A34" s="15" t="s">
        <v>207</v>
      </c>
      <c r="B34" s="8" t="s">
        <v>121</v>
      </c>
    </row>
    <row r="37" spans="1:5" x14ac:dyDescent="0.2">
      <c r="A37" s="19" t="s">
        <v>130</v>
      </c>
      <c r="B37" s="19"/>
      <c r="C37" s="19"/>
      <c r="D37" s="19"/>
      <c r="E37" s="19"/>
    </row>
    <row r="38" spans="1:5" x14ac:dyDescent="0.2">
      <c r="A38" s="20" t="s">
        <v>131</v>
      </c>
      <c r="B38" s="20"/>
      <c r="C38" s="20"/>
      <c r="D38" s="20"/>
      <c r="E38" s="20"/>
    </row>
    <row r="39" spans="1:5" x14ac:dyDescent="0.2">
      <c r="A39" s="20"/>
      <c r="B39" s="20"/>
      <c r="C39" s="20"/>
      <c r="D39" s="20"/>
      <c r="E39" s="20"/>
    </row>
    <row r="40" spans="1:5" x14ac:dyDescent="0.2">
      <c r="A40" s="20"/>
      <c r="B40" s="20"/>
      <c r="C40" s="20"/>
      <c r="D40" s="20"/>
      <c r="E40" s="20"/>
    </row>
    <row r="41" spans="1:5" x14ac:dyDescent="0.2">
      <c r="A41" s="20"/>
      <c r="B41" s="20"/>
      <c r="C41" s="20"/>
      <c r="D41" s="20"/>
      <c r="E41" s="20"/>
    </row>
    <row r="42" spans="1:5" x14ac:dyDescent="0.2">
      <c r="A42" s="20"/>
      <c r="B42" s="20"/>
      <c r="C42" s="20"/>
      <c r="D42" s="20"/>
      <c r="E42" s="20"/>
    </row>
  </sheetData>
  <mergeCells count="7">
    <mergeCell ref="A19:B19"/>
    <mergeCell ref="D25:E25"/>
    <mergeCell ref="A37:E37"/>
    <mergeCell ref="A38:E42"/>
    <mergeCell ref="A1:K1"/>
    <mergeCell ref="D4:J9"/>
    <mergeCell ref="D3:J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E2D5-7394-F34C-9A22-830C10DBEB6E}">
  <dimension ref="A2:M42"/>
  <sheetViews>
    <sheetView workbookViewId="0">
      <selection activeCell="D38" sqref="D38"/>
    </sheetView>
  </sheetViews>
  <sheetFormatPr baseColWidth="10" defaultRowHeight="16" x14ac:dyDescent="0.2"/>
  <cols>
    <col min="1" max="1" width="12.6640625" bestFit="1" customWidth="1"/>
    <col min="2" max="2" width="26.1640625" bestFit="1" customWidth="1"/>
    <col min="3" max="3" width="60.5" bestFit="1" customWidth="1"/>
    <col min="4" max="4" width="11.83203125" bestFit="1" customWidth="1"/>
    <col min="5" max="5" width="12.5" bestFit="1" customWidth="1"/>
    <col min="9" max="9" width="15.33203125" bestFit="1" customWidth="1"/>
    <col min="10" max="10" width="10.5" bestFit="1" customWidth="1"/>
    <col min="13" max="13" width="26.1640625" customWidth="1"/>
  </cols>
  <sheetData>
    <row r="2" spans="1:13" x14ac:dyDescent="0.2">
      <c r="A2" t="s">
        <v>66</v>
      </c>
      <c r="B2" t="s">
        <v>67</v>
      </c>
      <c r="C2" t="s">
        <v>31</v>
      </c>
      <c r="I2" s="18" t="s">
        <v>65</v>
      </c>
      <c r="J2" s="18"/>
      <c r="K2" s="18"/>
      <c r="L2" s="18"/>
      <c r="M2" s="18"/>
    </row>
    <row r="3" spans="1:13" ht="16" customHeight="1" x14ac:dyDescent="0.2">
      <c r="A3" s="4">
        <v>1</v>
      </c>
      <c r="B3" t="s">
        <v>68</v>
      </c>
      <c r="C3" t="s">
        <v>72</v>
      </c>
      <c r="G3" s="11"/>
      <c r="H3" s="11"/>
      <c r="I3" s="20" t="s">
        <v>165</v>
      </c>
      <c r="J3" s="20"/>
      <c r="K3" s="20"/>
      <c r="L3" s="20"/>
      <c r="M3" s="20"/>
    </row>
    <row r="4" spans="1:13" ht="16" customHeight="1" x14ac:dyDescent="0.2">
      <c r="A4" s="4">
        <v>2</v>
      </c>
      <c r="B4" t="s">
        <v>69</v>
      </c>
      <c r="C4" t="s">
        <v>73</v>
      </c>
      <c r="G4" s="11"/>
      <c r="H4" s="11"/>
      <c r="I4" s="20"/>
      <c r="J4" s="20"/>
      <c r="K4" s="20"/>
      <c r="L4" s="20"/>
      <c r="M4" s="20"/>
    </row>
    <row r="5" spans="1:13" x14ac:dyDescent="0.2">
      <c r="A5" s="4">
        <v>3</v>
      </c>
      <c r="B5" t="s">
        <v>70</v>
      </c>
      <c r="C5" t="s">
        <v>74</v>
      </c>
      <c r="G5" s="11"/>
      <c r="H5" s="11"/>
      <c r="I5" s="20"/>
      <c r="J5" s="20"/>
      <c r="K5" s="20"/>
      <c r="L5" s="20"/>
      <c r="M5" s="20"/>
    </row>
    <row r="6" spans="1:13" x14ac:dyDescent="0.2">
      <c r="A6" s="4">
        <v>4</v>
      </c>
      <c r="B6" t="s">
        <v>71</v>
      </c>
      <c r="C6" t="s">
        <v>75</v>
      </c>
      <c r="G6" s="11"/>
      <c r="H6" s="11"/>
      <c r="I6" s="20"/>
      <c r="J6" s="20"/>
      <c r="K6" s="20"/>
      <c r="L6" s="20"/>
      <c r="M6" s="20"/>
    </row>
    <row r="7" spans="1:13" x14ac:dyDescent="0.2">
      <c r="A7" s="4">
        <v>5</v>
      </c>
      <c r="B7" t="s">
        <v>164</v>
      </c>
      <c r="C7" t="s">
        <v>76</v>
      </c>
      <c r="G7" s="10"/>
      <c r="H7" s="10"/>
      <c r="I7" s="20"/>
      <c r="J7" s="20"/>
      <c r="K7" s="20"/>
      <c r="L7" s="20"/>
      <c r="M7" s="20"/>
    </row>
    <row r="8" spans="1:13" x14ac:dyDescent="0.2">
      <c r="I8" s="20"/>
      <c r="J8" s="20"/>
      <c r="K8" s="20"/>
      <c r="L8" s="20"/>
      <c r="M8" s="20"/>
    </row>
    <row r="9" spans="1:13" x14ac:dyDescent="0.2">
      <c r="A9" t="s">
        <v>66</v>
      </c>
      <c r="B9" t="s">
        <v>87</v>
      </c>
      <c r="C9" t="s">
        <v>31</v>
      </c>
      <c r="I9" s="20"/>
      <c r="J9" s="20"/>
      <c r="K9" s="20"/>
      <c r="L9" s="20"/>
      <c r="M9" s="20"/>
    </row>
    <row r="10" spans="1:13" x14ac:dyDescent="0.2">
      <c r="A10" s="4">
        <v>1</v>
      </c>
      <c r="B10" t="s">
        <v>77</v>
      </c>
      <c r="C10" t="s">
        <v>82</v>
      </c>
      <c r="I10" s="20"/>
      <c r="J10" s="20"/>
      <c r="K10" s="20"/>
      <c r="L10" s="20"/>
      <c r="M10" s="20"/>
    </row>
    <row r="11" spans="1:13" x14ac:dyDescent="0.2">
      <c r="A11" s="4">
        <v>2</v>
      </c>
      <c r="B11" t="s">
        <v>78</v>
      </c>
      <c r="C11" t="s">
        <v>83</v>
      </c>
      <c r="I11" s="20"/>
      <c r="J11" s="20"/>
      <c r="K11" s="20"/>
      <c r="L11" s="20"/>
      <c r="M11" s="20"/>
    </row>
    <row r="12" spans="1:13" x14ac:dyDescent="0.2">
      <c r="A12" s="4">
        <v>3</v>
      </c>
      <c r="B12" t="s">
        <v>79</v>
      </c>
      <c r="C12" t="s">
        <v>84</v>
      </c>
      <c r="I12" s="20"/>
      <c r="J12" s="20"/>
      <c r="K12" s="20"/>
      <c r="L12" s="20"/>
      <c r="M12" s="20"/>
    </row>
    <row r="13" spans="1:13" x14ac:dyDescent="0.2">
      <c r="A13" s="4">
        <v>4</v>
      </c>
      <c r="B13" t="s">
        <v>80</v>
      </c>
      <c r="C13" t="s">
        <v>85</v>
      </c>
      <c r="I13" s="20"/>
      <c r="J13" s="20"/>
      <c r="K13" s="20"/>
      <c r="L13" s="20"/>
      <c r="M13" s="20"/>
    </row>
    <row r="14" spans="1:13" x14ac:dyDescent="0.2">
      <c r="A14" s="4">
        <v>5</v>
      </c>
      <c r="B14" t="s">
        <v>81</v>
      </c>
      <c r="C14" t="s">
        <v>86</v>
      </c>
    </row>
    <row r="16" spans="1:13" x14ac:dyDescent="0.2">
      <c r="A16" t="s">
        <v>29</v>
      </c>
      <c r="B16" t="s">
        <v>30</v>
      </c>
      <c r="C16" t="s">
        <v>31</v>
      </c>
      <c r="D16" t="s">
        <v>67</v>
      </c>
      <c r="E16" t="s">
        <v>87</v>
      </c>
      <c r="F16" t="s">
        <v>132</v>
      </c>
      <c r="G16" t="s">
        <v>133</v>
      </c>
      <c r="I16" s="18" t="s">
        <v>134</v>
      </c>
      <c r="J16" s="18"/>
      <c r="K16" s="18"/>
      <c r="L16" s="18"/>
      <c r="M16" s="18"/>
    </row>
    <row r="17" spans="1:13" x14ac:dyDescent="0.2">
      <c r="A17" t="s">
        <v>32</v>
      </c>
      <c r="B17" t="s">
        <v>42</v>
      </c>
      <c r="C17" t="s">
        <v>43</v>
      </c>
      <c r="D17" s="4">
        <v>4</v>
      </c>
      <c r="E17" s="4">
        <v>5</v>
      </c>
      <c r="F17" s="4">
        <f>'Risk Methodology'!A6*'Risk Methodology'!A14</f>
        <v>20</v>
      </c>
      <c r="G17" s="4" t="str">
        <f t="shared" ref="G17:G26" si="0">IF(F17&gt;=16,"Critical",IF(F17&gt;=10,"High",IF(F17&gt;=5,"Medium","Low")))</f>
        <v>Critical</v>
      </c>
      <c r="I17" s="12" t="s">
        <v>135</v>
      </c>
      <c r="J17" s="12" t="s">
        <v>136</v>
      </c>
      <c r="K17" s="38" t="s">
        <v>137</v>
      </c>
      <c r="L17" s="38"/>
      <c r="M17" s="38"/>
    </row>
    <row r="18" spans="1:13" x14ac:dyDescent="0.2">
      <c r="A18" t="s">
        <v>33</v>
      </c>
      <c r="B18" t="s">
        <v>45</v>
      </c>
      <c r="C18" t="s">
        <v>46</v>
      </c>
      <c r="D18" s="4">
        <v>3</v>
      </c>
      <c r="E18" s="4">
        <v>4</v>
      </c>
      <c r="F18" s="4">
        <f>'Risk Methodology'!A5*'Risk Methodology'!A13</f>
        <v>12</v>
      </c>
      <c r="G18" s="4" t="str">
        <f t="shared" si="0"/>
        <v>High</v>
      </c>
      <c r="I18" s="1" t="s">
        <v>138</v>
      </c>
      <c r="J18" s="1" t="s">
        <v>142</v>
      </c>
      <c r="K18" s="35" t="s">
        <v>143</v>
      </c>
      <c r="L18" s="35"/>
      <c r="M18" s="35"/>
    </row>
    <row r="19" spans="1:13" x14ac:dyDescent="0.2">
      <c r="A19" t="s">
        <v>34</v>
      </c>
      <c r="B19" t="s">
        <v>47</v>
      </c>
      <c r="C19" t="s">
        <v>48</v>
      </c>
      <c r="D19" s="4">
        <v>3</v>
      </c>
      <c r="E19" s="4">
        <v>3</v>
      </c>
      <c r="F19" s="4">
        <f>A5*A12</f>
        <v>9</v>
      </c>
      <c r="G19" s="4" t="str">
        <f t="shared" si="0"/>
        <v>Medium</v>
      </c>
      <c r="I19" s="1" t="s">
        <v>139</v>
      </c>
      <c r="J19" s="1" t="s">
        <v>64</v>
      </c>
      <c r="K19" s="35" t="s">
        <v>144</v>
      </c>
      <c r="L19" s="35"/>
      <c r="M19" s="35"/>
    </row>
    <row r="20" spans="1:13" x14ac:dyDescent="0.2">
      <c r="A20" t="s">
        <v>35</v>
      </c>
      <c r="B20" t="s">
        <v>50</v>
      </c>
      <c r="C20" t="s">
        <v>57</v>
      </c>
      <c r="D20" s="4">
        <v>4</v>
      </c>
      <c r="E20" s="4">
        <v>5</v>
      </c>
      <c r="F20" s="4">
        <f>'Risk Methodology'!A6*'Risk Methodology'!A14</f>
        <v>20</v>
      </c>
      <c r="G20" s="4" t="str">
        <f t="shared" si="0"/>
        <v>Critical</v>
      </c>
      <c r="I20" s="1" t="s">
        <v>140</v>
      </c>
      <c r="J20" s="1" t="s">
        <v>44</v>
      </c>
      <c r="K20" s="35" t="s">
        <v>145</v>
      </c>
      <c r="L20" s="35"/>
      <c r="M20" s="35"/>
    </row>
    <row r="21" spans="1:13" x14ac:dyDescent="0.2">
      <c r="A21" t="s">
        <v>36</v>
      </c>
      <c r="B21" t="s">
        <v>51</v>
      </c>
      <c r="C21" t="s">
        <v>58</v>
      </c>
      <c r="D21" s="4">
        <v>2</v>
      </c>
      <c r="E21" s="4">
        <v>2</v>
      </c>
      <c r="F21" s="4">
        <f>'Risk Methodology'!A4*'Risk Methodology'!A11</f>
        <v>4</v>
      </c>
      <c r="G21" s="4" t="str">
        <f t="shared" si="0"/>
        <v>Low</v>
      </c>
      <c r="I21" s="1" t="s">
        <v>141</v>
      </c>
      <c r="J21" s="1" t="s">
        <v>49</v>
      </c>
      <c r="K21" s="1" t="s">
        <v>146</v>
      </c>
      <c r="L21" s="1"/>
      <c r="M21" s="1"/>
    </row>
    <row r="22" spans="1:13" x14ac:dyDescent="0.2">
      <c r="A22" t="s">
        <v>37</v>
      </c>
      <c r="B22" t="s">
        <v>52</v>
      </c>
      <c r="C22" t="s">
        <v>59</v>
      </c>
      <c r="D22" s="4">
        <v>4</v>
      </c>
      <c r="E22" s="4">
        <v>5</v>
      </c>
      <c r="F22" s="4">
        <f>'Risk Methodology'!A6*'Risk Methodology'!A14</f>
        <v>20</v>
      </c>
      <c r="G22" s="4" t="str">
        <f t="shared" si="0"/>
        <v>Critical</v>
      </c>
    </row>
    <row r="23" spans="1:13" x14ac:dyDescent="0.2">
      <c r="A23" t="s">
        <v>38</v>
      </c>
      <c r="B23" t="s">
        <v>53</v>
      </c>
      <c r="C23" t="s">
        <v>60</v>
      </c>
      <c r="D23" s="4">
        <v>4</v>
      </c>
      <c r="E23" s="4">
        <v>4</v>
      </c>
      <c r="F23" s="4">
        <f>'Risk Methodology'!A5*'Risk Methodology'!A13</f>
        <v>12</v>
      </c>
      <c r="G23" s="4" t="str">
        <f t="shared" si="0"/>
        <v>High</v>
      </c>
    </row>
    <row r="24" spans="1:13" x14ac:dyDescent="0.2">
      <c r="A24" t="s">
        <v>39</v>
      </c>
      <c r="B24" t="s">
        <v>54</v>
      </c>
      <c r="C24" t="s">
        <v>61</v>
      </c>
      <c r="D24" s="4">
        <v>3</v>
      </c>
      <c r="E24" s="4">
        <v>5</v>
      </c>
      <c r="F24" s="4">
        <f>'Risk Methodology'!A5*'Risk Methodology'!A14</f>
        <v>15</v>
      </c>
      <c r="G24" s="4" t="str">
        <f t="shared" si="0"/>
        <v>High</v>
      </c>
      <c r="I24" s="32" t="s">
        <v>147</v>
      </c>
      <c r="J24" s="33"/>
      <c r="K24" s="34"/>
    </row>
    <row r="25" spans="1:13" x14ac:dyDescent="0.2">
      <c r="A25" t="s">
        <v>40</v>
      </c>
      <c r="B25" t="s">
        <v>55</v>
      </c>
      <c r="C25" t="s">
        <v>62</v>
      </c>
      <c r="D25" s="4">
        <v>3</v>
      </c>
      <c r="E25" s="4">
        <v>5</v>
      </c>
      <c r="F25" s="4">
        <f>'Risk Methodology'!A5*'Risk Methodology'!A14</f>
        <v>15</v>
      </c>
      <c r="G25" s="4" t="str">
        <f t="shared" si="0"/>
        <v>High</v>
      </c>
      <c r="I25" s="1" t="s">
        <v>148</v>
      </c>
      <c r="J25" s="36" t="s">
        <v>149</v>
      </c>
      <c r="K25" s="37"/>
    </row>
    <row r="26" spans="1:13" x14ac:dyDescent="0.2">
      <c r="A26" t="s">
        <v>41</v>
      </c>
      <c r="B26" t="s">
        <v>56</v>
      </c>
      <c r="C26" t="s">
        <v>63</v>
      </c>
      <c r="D26" s="4">
        <v>3</v>
      </c>
      <c r="E26" s="4">
        <v>4</v>
      </c>
      <c r="F26" s="4">
        <f>'Risk Methodology'!A5*'Risk Methodology'!A13</f>
        <v>12</v>
      </c>
      <c r="G26" s="4" t="str">
        <f t="shared" si="0"/>
        <v>High</v>
      </c>
      <c r="I26" s="1" t="s">
        <v>132</v>
      </c>
      <c r="J26" s="36" t="s">
        <v>150</v>
      </c>
      <c r="K26" s="37"/>
    </row>
    <row r="27" spans="1:13" x14ac:dyDescent="0.2">
      <c r="I27" s="1" t="s">
        <v>151</v>
      </c>
      <c r="J27" s="19">
        <v>1</v>
      </c>
      <c r="K27" s="19"/>
    </row>
    <row r="28" spans="1:13" x14ac:dyDescent="0.2">
      <c r="I28" s="1" t="s">
        <v>152</v>
      </c>
      <c r="J28" s="19">
        <v>25</v>
      </c>
      <c r="K28" s="19"/>
    </row>
    <row r="29" spans="1:13" x14ac:dyDescent="0.2">
      <c r="I29" s="1" t="s">
        <v>153</v>
      </c>
      <c r="J29" s="19" t="s">
        <v>154</v>
      </c>
      <c r="K29" s="19"/>
    </row>
    <row r="31" spans="1:13" x14ac:dyDescent="0.2">
      <c r="I31" s="18" t="s">
        <v>155</v>
      </c>
      <c r="J31" s="18"/>
      <c r="K31" s="18"/>
      <c r="L31" s="18"/>
      <c r="M31" s="18"/>
    </row>
    <row r="32" spans="1:13" x14ac:dyDescent="0.2">
      <c r="I32" s="1" t="s">
        <v>156</v>
      </c>
      <c r="J32" s="35" t="s">
        <v>160</v>
      </c>
      <c r="K32" s="35"/>
      <c r="L32" s="35"/>
      <c r="M32" s="35"/>
    </row>
    <row r="33" spans="4:13" x14ac:dyDescent="0.2">
      <c r="I33" s="1" t="s">
        <v>157</v>
      </c>
      <c r="J33" s="35" t="s">
        <v>161</v>
      </c>
      <c r="K33" s="35"/>
      <c r="L33" s="35"/>
      <c r="M33" s="35"/>
    </row>
    <row r="34" spans="4:13" x14ac:dyDescent="0.2">
      <c r="I34" s="1" t="s">
        <v>158</v>
      </c>
      <c r="J34" s="35" t="s">
        <v>162</v>
      </c>
      <c r="K34" s="35"/>
      <c r="L34" s="35"/>
      <c r="M34" s="35"/>
    </row>
    <row r="35" spans="4:13" x14ac:dyDescent="0.2">
      <c r="I35" s="1" t="s">
        <v>159</v>
      </c>
      <c r="J35" s="35" t="s">
        <v>163</v>
      </c>
      <c r="K35" s="35"/>
      <c r="L35" s="35"/>
      <c r="M35" s="35"/>
    </row>
    <row r="39" spans="4:13" x14ac:dyDescent="0.2">
      <c r="D39" s="18" t="s">
        <v>166</v>
      </c>
      <c r="E39" s="18"/>
      <c r="F39" s="18"/>
      <c r="G39" s="18"/>
      <c r="H39" s="18"/>
      <c r="I39" s="18"/>
    </row>
    <row r="40" spans="4:13" x14ac:dyDescent="0.2">
      <c r="D40" s="19" t="s">
        <v>167</v>
      </c>
      <c r="E40" s="19"/>
      <c r="F40" s="19" t="s">
        <v>31</v>
      </c>
      <c r="G40" s="19"/>
      <c r="H40" s="19"/>
      <c r="I40" s="19"/>
    </row>
    <row r="41" spans="4:13" x14ac:dyDescent="0.2">
      <c r="D41" s="19" t="s">
        <v>168</v>
      </c>
      <c r="E41" s="19"/>
      <c r="F41" s="35" t="s">
        <v>169</v>
      </c>
      <c r="G41" s="35"/>
      <c r="H41" s="35"/>
      <c r="I41" s="35"/>
    </row>
    <row r="42" spans="4:13" x14ac:dyDescent="0.2">
      <c r="D42" s="19" t="s">
        <v>170</v>
      </c>
      <c r="E42" s="19"/>
      <c r="F42" s="35" t="s">
        <v>171</v>
      </c>
      <c r="G42" s="35"/>
      <c r="H42" s="35"/>
      <c r="I42" s="35"/>
    </row>
  </sheetData>
  <mergeCells count="25">
    <mergeCell ref="K17:M17"/>
    <mergeCell ref="K18:M18"/>
    <mergeCell ref="K19:M19"/>
    <mergeCell ref="K20:M20"/>
    <mergeCell ref="I2:M2"/>
    <mergeCell ref="I3:M13"/>
    <mergeCell ref="I16:M16"/>
    <mergeCell ref="D39:I39"/>
    <mergeCell ref="J27:K27"/>
    <mergeCell ref="J28:K28"/>
    <mergeCell ref="J29:K29"/>
    <mergeCell ref="I24:K24"/>
    <mergeCell ref="J25:K25"/>
    <mergeCell ref="J26:K26"/>
    <mergeCell ref="I31:M31"/>
    <mergeCell ref="J32:M32"/>
    <mergeCell ref="J33:M33"/>
    <mergeCell ref="J34:M34"/>
    <mergeCell ref="J35:M35"/>
    <mergeCell ref="D40:E40"/>
    <mergeCell ref="D41:E41"/>
    <mergeCell ref="F41:I41"/>
    <mergeCell ref="F40:I40"/>
    <mergeCell ref="D42:E42"/>
    <mergeCell ref="F42:I4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DF37-2187-6E45-A921-946BBA202A56}">
  <dimension ref="A1:P40"/>
  <sheetViews>
    <sheetView topLeftCell="B1" workbookViewId="0">
      <selection activeCell="M16" sqref="M16"/>
    </sheetView>
  </sheetViews>
  <sheetFormatPr baseColWidth="10" defaultRowHeight="16" x14ac:dyDescent="0.2"/>
  <cols>
    <col min="2" max="2" width="57.33203125" customWidth="1"/>
    <col min="3" max="3" width="16.1640625" customWidth="1"/>
    <col min="4" max="4" width="13.5" customWidth="1"/>
    <col min="5" max="5" width="14.83203125" bestFit="1" customWidth="1"/>
    <col min="6" max="6" width="16.6640625" bestFit="1" customWidth="1"/>
    <col min="7" max="7" width="14" bestFit="1" customWidth="1"/>
    <col min="8" max="8" width="13" bestFit="1" customWidth="1"/>
    <col min="9" max="9" width="13.5" bestFit="1" customWidth="1"/>
    <col min="10" max="10" width="16.83203125" bestFit="1" customWidth="1"/>
    <col min="11" max="11" width="14.1640625" bestFit="1" customWidth="1"/>
    <col min="12" max="12" width="13.1640625" bestFit="1" customWidth="1"/>
    <col min="13" max="13" width="13.6640625" bestFit="1" customWidth="1"/>
    <col min="14" max="14" width="15.33203125" bestFit="1" customWidth="1"/>
    <col min="15" max="15" width="26.1640625" bestFit="1" customWidth="1"/>
    <col min="16" max="16" width="12" customWidth="1"/>
  </cols>
  <sheetData>
    <row r="1" spans="1:16" x14ac:dyDescent="0.2">
      <c r="A1" s="16" t="s">
        <v>172</v>
      </c>
      <c r="B1" s="16" t="s">
        <v>173</v>
      </c>
      <c r="C1" s="16" t="s">
        <v>174</v>
      </c>
      <c r="D1" s="16" t="s">
        <v>175</v>
      </c>
      <c r="E1" s="16" t="s">
        <v>176</v>
      </c>
      <c r="F1" s="16" t="s">
        <v>177</v>
      </c>
      <c r="G1" s="16" t="s">
        <v>178</v>
      </c>
      <c r="H1" s="16" t="s">
        <v>179</v>
      </c>
      <c r="I1" s="16" t="s">
        <v>180</v>
      </c>
      <c r="J1" s="16" t="s">
        <v>181</v>
      </c>
      <c r="K1" s="16" t="s">
        <v>182</v>
      </c>
      <c r="L1" s="16" t="s">
        <v>183</v>
      </c>
      <c r="M1" s="16" t="s">
        <v>184</v>
      </c>
      <c r="N1" s="16" t="s">
        <v>185</v>
      </c>
      <c r="O1" s="16" t="s">
        <v>186</v>
      </c>
      <c r="P1" s="16" t="s">
        <v>187</v>
      </c>
    </row>
    <row r="2" spans="1:16" ht="102" x14ac:dyDescent="0.2">
      <c r="A2" s="17" t="s">
        <v>188</v>
      </c>
      <c r="B2" s="11" t="s">
        <v>189</v>
      </c>
      <c r="C2" s="14" t="s">
        <v>208</v>
      </c>
      <c r="D2" s="14" t="s">
        <v>190</v>
      </c>
      <c r="E2" s="14" t="s">
        <v>191</v>
      </c>
      <c r="F2" s="13">
        <v>4</v>
      </c>
      <c r="G2" s="13">
        <v>5</v>
      </c>
      <c r="H2" s="13">
        <f>F2*G2</f>
        <v>20</v>
      </c>
      <c r="I2" s="13" t="str">
        <f>IF(H2&gt;=16,"Critical",IF(H2&gt;=10,"High",IF(H2&gt;=5,"Medium","Low")))</f>
        <v>Critical</v>
      </c>
      <c r="J2" s="13">
        <v>3</v>
      </c>
      <c r="K2" s="13">
        <v>5</v>
      </c>
      <c r="L2" s="13">
        <f>J2*K2</f>
        <v>15</v>
      </c>
      <c r="M2" s="13" t="str">
        <f>IF(L2&gt;=16,"Critical",IF(L2&gt;=10,"High",IF(L2&gt;=5,"Medium","Low")))</f>
        <v>High</v>
      </c>
      <c r="N2" s="13" t="s">
        <v>156</v>
      </c>
      <c r="O2" s="14" t="s">
        <v>209</v>
      </c>
      <c r="P2" s="14" t="s">
        <v>90</v>
      </c>
    </row>
    <row r="3" spans="1:16" ht="153" x14ac:dyDescent="0.2">
      <c r="A3" s="17" t="s">
        <v>192</v>
      </c>
      <c r="B3" s="14" t="s">
        <v>213</v>
      </c>
      <c r="C3" s="14" t="s">
        <v>214</v>
      </c>
      <c r="D3" s="14" t="s">
        <v>215</v>
      </c>
      <c r="E3" s="14" t="s">
        <v>216</v>
      </c>
      <c r="F3" s="13">
        <v>3</v>
      </c>
      <c r="G3" s="13">
        <v>5</v>
      </c>
      <c r="H3" s="13">
        <f t="shared" ref="H3:H40" si="0">F3*G3</f>
        <v>15</v>
      </c>
      <c r="I3" s="13" t="str">
        <f t="shared" ref="I3:I40" si="1">IF(H3&gt;=16,"Critical",IF(H3&gt;=10,"High",IF(H3&gt;=5,"Medium","Low")))</f>
        <v>High</v>
      </c>
      <c r="J3" s="13">
        <v>2</v>
      </c>
      <c r="K3" s="13">
        <v>4</v>
      </c>
      <c r="L3" s="13">
        <f t="shared" ref="L3:L40" si="2">J3*K3</f>
        <v>8</v>
      </c>
      <c r="M3" s="13" t="str">
        <f t="shared" ref="M3:M40" si="3">IF(L3&gt;=16,"Critical",IF(L3&gt;=10,"High",IF(L3&gt;=5,"Medium","Low")))</f>
        <v>Medium</v>
      </c>
      <c r="N3" s="13" t="s">
        <v>156</v>
      </c>
      <c r="O3" s="14" t="s">
        <v>217</v>
      </c>
      <c r="P3" s="14" t="s">
        <v>218</v>
      </c>
    </row>
    <row r="4" spans="1:16" ht="153" x14ac:dyDescent="0.2">
      <c r="A4" s="17" t="s">
        <v>210</v>
      </c>
      <c r="B4" s="14" t="s">
        <v>219</v>
      </c>
      <c r="C4" s="14" t="s">
        <v>220</v>
      </c>
      <c r="D4" s="14" t="s">
        <v>221</v>
      </c>
      <c r="E4" s="14" t="s">
        <v>222</v>
      </c>
      <c r="F4" s="13">
        <v>4</v>
      </c>
      <c r="G4" s="13">
        <v>5</v>
      </c>
      <c r="H4" s="13">
        <f t="shared" si="0"/>
        <v>20</v>
      </c>
      <c r="I4" s="13" t="str">
        <f t="shared" si="1"/>
        <v>Critical</v>
      </c>
      <c r="J4" s="13">
        <v>2</v>
      </c>
      <c r="K4" s="13">
        <v>5</v>
      </c>
      <c r="L4" s="13">
        <f t="shared" si="2"/>
        <v>10</v>
      </c>
      <c r="M4" s="13" t="str">
        <f t="shared" si="3"/>
        <v>High</v>
      </c>
      <c r="N4" s="13" t="s">
        <v>156</v>
      </c>
      <c r="O4" s="14" t="s">
        <v>223</v>
      </c>
      <c r="P4" s="14" t="s">
        <v>224</v>
      </c>
    </row>
    <row r="5" spans="1:16" ht="102" x14ac:dyDescent="0.2">
      <c r="A5" s="17" t="s">
        <v>211</v>
      </c>
      <c r="B5" s="14" t="s">
        <v>225</v>
      </c>
      <c r="C5" s="14" t="s">
        <v>226</v>
      </c>
      <c r="D5" s="14" t="s">
        <v>227</v>
      </c>
      <c r="E5" s="14" t="s">
        <v>228</v>
      </c>
      <c r="F5" s="13">
        <v>3</v>
      </c>
      <c r="G5" s="13">
        <v>3</v>
      </c>
      <c r="H5" s="13">
        <f t="shared" si="0"/>
        <v>9</v>
      </c>
      <c r="I5" s="13" t="str">
        <f t="shared" si="1"/>
        <v>Medium</v>
      </c>
      <c r="J5" s="13">
        <v>2</v>
      </c>
      <c r="K5" s="13">
        <v>3</v>
      </c>
      <c r="L5" s="13">
        <f t="shared" si="2"/>
        <v>6</v>
      </c>
      <c r="M5" s="13" t="str">
        <f t="shared" si="3"/>
        <v>Medium</v>
      </c>
      <c r="N5" s="13" t="s">
        <v>156</v>
      </c>
      <c r="O5" s="14" t="s">
        <v>229</v>
      </c>
      <c r="P5" s="14" t="s">
        <v>230</v>
      </c>
    </row>
    <row r="6" spans="1:16" ht="136" x14ac:dyDescent="0.2">
      <c r="A6" s="17" t="s">
        <v>212</v>
      </c>
      <c r="B6" s="14" t="s">
        <v>231</v>
      </c>
      <c r="C6" s="14" t="s">
        <v>232</v>
      </c>
      <c r="D6" s="14" t="s">
        <v>233</v>
      </c>
      <c r="E6" s="14" t="s">
        <v>234</v>
      </c>
      <c r="F6" s="13">
        <v>4</v>
      </c>
      <c r="G6" s="13">
        <v>5</v>
      </c>
      <c r="H6" s="13">
        <f t="shared" si="0"/>
        <v>20</v>
      </c>
      <c r="I6" s="13" t="str">
        <f t="shared" si="1"/>
        <v>Critical</v>
      </c>
      <c r="J6" s="13">
        <v>2</v>
      </c>
      <c r="K6" s="13">
        <v>5</v>
      </c>
      <c r="L6" s="13">
        <f t="shared" si="2"/>
        <v>10</v>
      </c>
      <c r="M6" s="13" t="str">
        <f t="shared" si="3"/>
        <v>High</v>
      </c>
      <c r="N6" s="13" t="s">
        <v>156</v>
      </c>
      <c r="O6" s="14" t="s">
        <v>235</v>
      </c>
      <c r="P6" s="14" t="s">
        <v>236</v>
      </c>
    </row>
    <row r="7" spans="1:16" ht="85" x14ac:dyDescent="0.2">
      <c r="A7" s="17" t="s">
        <v>237</v>
      </c>
      <c r="B7" s="14" t="s">
        <v>247</v>
      </c>
      <c r="C7" s="14" t="s">
        <v>248</v>
      </c>
      <c r="D7" s="14" t="s">
        <v>250</v>
      </c>
      <c r="E7" s="14" t="s">
        <v>249</v>
      </c>
      <c r="F7" s="13">
        <v>3</v>
      </c>
      <c r="G7" s="13">
        <v>3</v>
      </c>
      <c r="H7" s="13">
        <f t="shared" si="0"/>
        <v>9</v>
      </c>
      <c r="I7" s="13" t="str">
        <f t="shared" si="1"/>
        <v>Medium</v>
      </c>
      <c r="J7" s="13">
        <v>2</v>
      </c>
      <c r="K7" s="13">
        <v>3</v>
      </c>
      <c r="L7" s="13">
        <f t="shared" si="2"/>
        <v>6</v>
      </c>
      <c r="M7" s="13" t="str">
        <f t="shared" si="3"/>
        <v>Medium</v>
      </c>
      <c r="N7" s="13" t="s">
        <v>156</v>
      </c>
      <c r="O7" s="14" t="s">
        <v>251</v>
      </c>
      <c r="P7" s="14" t="s">
        <v>252</v>
      </c>
    </row>
    <row r="8" spans="1:16" ht="119" x14ac:dyDescent="0.2">
      <c r="A8" s="17" t="s">
        <v>238</v>
      </c>
      <c r="B8" s="14" t="s">
        <v>253</v>
      </c>
      <c r="C8" s="14" t="s">
        <v>254</v>
      </c>
      <c r="D8" s="14" t="s">
        <v>255</v>
      </c>
      <c r="E8" s="14" t="s">
        <v>256</v>
      </c>
      <c r="F8" s="13">
        <v>3</v>
      </c>
      <c r="G8" s="13">
        <v>5</v>
      </c>
      <c r="H8" s="13">
        <f t="shared" si="0"/>
        <v>15</v>
      </c>
      <c r="I8" s="13" t="str">
        <f t="shared" si="1"/>
        <v>High</v>
      </c>
      <c r="J8" s="13">
        <v>2</v>
      </c>
      <c r="K8" s="13">
        <v>4</v>
      </c>
      <c r="L8" s="13">
        <f t="shared" si="2"/>
        <v>8</v>
      </c>
      <c r="M8" s="13" t="str">
        <f t="shared" si="3"/>
        <v>Medium</v>
      </c>
      <c r="N8" s="13" t="s">
        <v>156</v>
      </c>
      <c r="O8" s="14" t="s">
        <v>257</v>
      </c>
      <c r="P8" s="14" t="s">
        <v>258</v>
      </c>
    </row>
    <row r="9" spans="1:16" ht="85" x14ac:dyDescent="0.2">
      <c r="A9" s="17" t="s">
        <v>239</v>
      </c>
      <c r="B9" s="14" t="s">
        <v>259</v>
      </c>
      <c r="C9" s="14" t="s">
        <v>260</v>
      </c>
      <c r="D9" s="14" t="s">
        <v>261</v>
      </c>
      <c r="E9" s="14" t="s">
        <v>262</v>
      </c>
      <c r="F9" s="13">
        <v>3</v>
      </c>
      <c r="G9" s="13">
        <v>4</v>
      </c>
      <c r="H9" s="13">
        <f t="shared" si="0"/>
        <v>12</v>
      </c>
      <c r="I9" s="13" t="str">
        <f t="shared" si="1"/>
        <v>High</v>
      </c>
      <c r="J9" s="13">
        <v>2</v>
      </c>
      <c r="K9" s="13">
        <v>3</v>
      </c>
      <c r="L9" s="13">
        <f t="shared" si="2"/>
        <v>6</v>
      </c>
      <c r="M9" s="13" t="str">
        <f t="shared" si="3"/>
        <v>Medium</v>
      </c>
      <c r="N9" s="13" t="s">
        <v>156</v>
      </c>
      <c r="O9" s="14" t="s">
        <v>263</v>
      </c>
      <c r="P9" s="14" t="s">
        <v>264</v>
      </c>
    </row>
    <row r="10" spans="1:16" ht="136" x14ac:dyDescent="0.2">
      <c r="A10" s="17" t="s">
        <v>240</v>
      </c>
      <c r="B10" s="14" t="s">
        <v>265</v>
      </c>
      <c r="C10" s="14" t="s">
        <v>266</v>
      </c>
      <c r="D10" s="14" t="s">
        <v>267</v>
      </c>
      <c r="E10" s="14" t="s">
        <v>268</v>
      </c>
      <c r="F10" s="13">
        <v>4</v>
      </c>
      <c r="G10" s="13">
        <v>5</v>
      </c>
      <c r="H10" s="13">
        <f t="shared" si="0"/>
        <v>20</v>
      </c>
      <c r="I10" s="13" t="str">
        <f t="shared" si="1"/>
        <v>Critical</v>
      </c>
      <c r="J10" s="13">
        <v>3</v>
      </c>
      <c r="K10" s="13">
        <v>4</v>
      </c>
      <c r="L10" s="13">
        <f t="shared" si="2"/>
        <v>12</v>
      </c>
      <c r="M10" s="13" t="str">
        <f t="shared" si="3"/>
        <v>High</v>
      </c>
      <c r="N10" s="13" t="s">
        <v>269</v>
      </c>
      <c r="O10" s="14" t="s">
        <v>270</v>
      </c>
      <c r="P10" s="14" t="s">
        <v>271</v>
      </c>
    </row>
    <row r="11" spans="1:16" ht="119" x14ac:dyDescent="0.2">
      <c r="A11" s="17" t="s">
        <v>241</v>
      </c>
      <c r="B11" s="14" t="s">
        <v>272</v>
      </c>
      <c r="C11" s="14" t="s">
        <v>273</v>
      </c>
      <c r="D11" s="14" t="s">
        <v>274</v>
      </c>
      <c r="E11" s="14" t="s">
        <v>275</v>
      </c>
      <c r="F11" s="13">
        <v>3</v>
      </c>
      <c r="G11" s="13">
        <v>4</v>
      </c>
      <c r="H11" s="13">
        <f t="shared" si="0"/>
        <v>12</v>
      </c>
      <c r="I11" s="13" t="str">
        <f t="shared" si="1"/>
        <v>High</v>
      </c>
      <c r="J11" s="13">
        <v>2</v>
      </c>
      <c r="K11" s="13">
        <v>3</v>
      </c>
      <c r="L11" s="13">
        <f t="shared" si="2"/>
        <v>6</v>
      </c>
      <c r="M11" s="13" t="str">
        <f t="shared" si="3"/>
        <v>Medium</v>
      </c>
      <c r="N11" s="13" t="s">
        <v>156</v>
      </c>
      <c r="O11" s="14" t="s">
        <v>276</v>
      </c>
      <c r="P11" s="14" t="s">
        <v>230</v>
      </c>
    </row>
    <row r="12" spans="1:16" ht="102" x14ac:dyDescent="0.2">
      <c r="A12" s="17" t="s">
        <v>242</v>
      </c>
      <c r="B12" s="14" t="s">
        <v>277</v>
      </c>
      <c r="C12" s="14" t="s">
        <v>278</v>
      </c>
      <c r="D12" s="14" t="s">
        <v>279</v>
      </c>
      <c r="E12" s="14" t="s">
        <v>280</v>
      </c>
      <c r="F12" s="13">
        <v>3</v>
      </c>
      <c r="G12" s="13">
        <v>4</v>
      </c>
      <c r="H12" s="13">
        <f t="shared" si="0"/>
        <v>12</v>
      </c>
      <c r="I12" s="13" t="str">
        <f t="shared" si="1"/>
        <v>High</v>
      </c>
      <c r="J12" s="13">
        <v>2</v>
      </c>
      <c r="K12" s="13">
        <v>3</v>
      </c>
      <c r="L12" s="13">
        <f t="shared" si="2"/>
        <v>6</v>
      </c>
      <c r="M12" s="13" t="str">
        <f t="shared" si="3"/>
        <v>Medium</v>
      </c>
      <c r="N12" s="13" t="s">
        <v>156</v>
      </c>
      <c r="O12" s="14" t="s">
        <v>281</v>
      </c>
      <c r="P12" s="14" t="s">
        <v>258</v>
      </c>
    </row>
    <row r="13" spans="1:16" ht="102" x14ac:dyDescent="0.2">
      <c r="A13" s="17" t="s">
        <v>243</v>
      </c>
      <c r="B13" s="14" t="s">
        <v>282</v>
      </c>
      <c r="C13" s="14" t="s">
        <v>283</v>
      </c>
      <c r="D13" s="14" t="s">
        <v>284</v>
      </c>
      <c r="E13" s="14" t="s">
        <v>285</v>
      </c>
      <c r="F13" s="13">
        <v>3</v>
      </c>
      <c r="G13" s="13">
        <v>5</v>
      </c>
      <c r="H13" s="13">
        <f t="shared" si="0"/>
        <v>15</v>
      </c>
      <c r="I13" s="13" t="str">
        <f t="shared" si="1"/>
        <v>High</v>
      </c>
      <c r="J13" s="13">
        <v>2</v>
      </c>
      <c r="K13" s="13">
        <v>4</v>
      </c>
      <c r="L13" s="13">
        <f t="shared" si="2"/>
        <v>8</v>
      </c>
      <c r="M13" s="13" t="str">
        <f t="shared" si="3"/>
        <v>Medium</v>
      </c>
      <c r="N13" s="13" t="s">
        <v>156</v>
      </c>
      <c r="O13" s="14" t="s">
        <v>286</v>
      </c>
      <c r="P13" s="14" t="s">
        <v>252</v>
      </c>
    </row>
    <row r="14" spans="1:16" ht="102" x14ac:dyDescent="0.2">
      <c r="A14" s="17" t="s">
        <v>244</v>
      </c>
      <c r="B14" s="14" t="s">
        <v>287</v>
      </c>
      <c r="C14" s="14" t="s">
        <v>288</v>
      </c>
      <c r="D14" s="14" t="s">
        <v>289</v>
      </c>
      <c r="E14" s="14" t="s">
        <v>290</v>
      </c>
      <c r="F14" s="13">
        <v>3</v>
      </c>
      <c r="G14" s="13">
        <v>4</v>
      </c>
      <c r="H14" s="13">
        <f t="shared" si="0"/>
        <v>12</v>
      </c>
      <c r="I14" s="13" t="str">
        <f t="shared" si="1"/>
        <v>High</v>
      </c>
      <c r="J14" s="13">
        <v>2</v>
      </c>
      <c r="K14" s="13">
        <v>3</v>
      </c>
      <c r="L14" s="13">
        <f t="shared" si="2"/>
        <v>6</v>
      </c>
      <c r="M14" s="13" t="str">
        <f t="shared" si="3"/>
        <v>Medium</v>
      </c>
      <c r="N14" s="13" t="s">
        <v>156</v>
      </c>
      <c r="O14" s="14" t="s">
        <v>291</v>
      </c>
      <c r="P14" s="14" t="s">
        <v>218</v>
      </c>
    </row>
    <row r="15" spans="1:16" ht="85" x14ac:dyDescent="0.2">
      <c r="A15" s="17" t="s">
        <v>245</v>
      </c>
      <c r="B15" s="14" t="s">
        <v>292</v>
      </c>
      <c r="C15" s="14" t="s">
        <v>293</v>
      </c>
      <c r="D15" s="14" t="s">
        <v>294</v>
      </c>
      <c r="E15" s="14" t="s">
        <v>295</v>
      </c>
      <c r="F15" s="13">
        <v>4</v>
      </c>
      <c r="G15" s="13">
        <v>4</v>
      </c>
      <c r="H15" s="13">
        <f t="shared" si="0"/>
        <v>16</v>
      </c>
      <c r="I15" s="13" t="str">
        <f t="shared" si="1"/>
        <v>Critical</v>
      </c>
      <c r="J15" s="13">
        <v>2</v>
      </c>
      <c r="K15" s="13">
        <v>3</v>
      </c>
      <c r="L15" s="13">
        <f t="shared" si="2"/>
        <v>6</v>
      </c>
      <c r="M15" s="13" t="str">
        <f t="shared" si="3"/>
        <v>Medium</v>
      </c>
      <c r="N15" s="13" t="s">
        <v>156</v>
      </c>
      <c r="O15" s="14" t="s">
        <v>296</v>
      </c>
      <c r="P15" s="14" t="s">
        <v>297</v>
      </c>
    </row>
    <row r="16" spans="1:16" ht="102" x14ac:dyDescent="0.2">
      <c r="A16" s="17" t="s">
        <v>246</v>
      </c>
      <c r="B16" s="14" t="s">
        <v>298</v>
      </c>
      <c r="C16" s="14" t="s">
        <v>299</v>
      </c>
      <c r="D16" s="14" t="s">
        <v>300</v>
      </c>
      <c r="E16" s="14" t="s">
        <v>301</v>
      </c>
      <c r="F16" s="13">
        <v>3</v>
      </c>
      <c r="G16" s="13">
        <v>4</v>
      </c>
      <c r="H16" s="13">
        <f t="shared" si="0"/>
        <v>12</v>
      </c>
      <c r="I16" s="13" t="str">
        <f t="shared" si="1"/>
        <v>High</v>
      </c>
      <c r="J16" s="13">
        <v>2</v>
      </c>
      <c r="K16" s="13">
        <v>3</v>
      </c>
      <c r="L16" s="13">
        <f t="shared" si="2"/>
        <v>6</v>
      </c>
      <c r="M16" s="13" t="str">
        <f t="shared" si="3"/>
        <v>Medium</v>
      </c>
      <c r="N16" s="13" t="s">
        <v>156</v>
      </c>
      <c r="O16" s="14" t="s">
        <v>302</v>
      </c>
      <c r="P16" s="14" t="s">
        <v>90</v>
      </c>
    </row>
    <row r="17" spans="6:16" x14ac:dyDescent="0.2">
      <c r="F17" s="13"/>
      <c r="G17" s="13"/>
      <c r="H17" s="13">
        <f t="shared" si="0"/>
        <v>0</v>
      </c>
      <c r="I17" s="13" t="str">
        <f t="shared" si="1"/>
        <v>Low</v>
      </c>
      <c r="J17" s="13"/>
      <c r="K17" s="13"/>
      <c r="L17" s="13">
        <f t="shared" si="2"/>
        <v>0</v>
      </c>
      <c r="M17" s="13" t="str">
        <f t="shared" si="3"/>
        <v>Low</v>
      </c>
      <c r="N17" s="13"/>
      <c r="O17" s="13"/>
      <c r="P17" s="13"/>
    </row>
    <row r="18" spans="6:16" x14ac:dyDescent="0.2">
      <c r="F18" s="13"/>
      <c r="G18" s="13"/>
      <c r="H18" s="13">
        <f t="shared" si="0"/>
        <v>0</v>
      </c>
      <c r="I18" s="13" t="str">
        <f t="shared" si="1"/>
        <v>Low</v>
      </c>
      <c r="J18" s="13"/>
      <c r="K18" s="13"/>
      <c r="L18" s="13">
        <f t="shared" si="2"/>
        <v>0</v>
      </c>
      <c r="M18" s="13" t="str">
        <f t="shared" si="3"/>
        <v>Low</v>
      </c>
      <c r="N18" s="13"/>
      <c r="O18" s="13"/>
      <c r="P18" s="13"/>
    </row>
    <row r="19" spans="6:16" x14ac:dyDescent="0.2">
      <c r="F19" s="13"/>
      <c r="G19" s="13"/>
      <c r="H19" s="13">
        <f t="shared" si="0"/>
        <v>0</v>
      </c>
      <c r="I19" s="13" t="str">
        <f t="shared" si="1"/>
        <v>Low</v>
      </c>
      <c r="J19" s="13"/>
      <c r="K19" s="13"/>
      <c r="L19" s="13">
        <f t="shared" si="2"/>
        <v>0</v>
      </c>
      <c r="M19" s="13" t="str">
        <f t="shared" si="3"/>
        <v>Low</v>
      </c>
      <c r="N19" s="13"/>
      <c r="O19" s="13"/>
      <c r="P19" s="13"/>
    </row>
    <row r="20" spans="6:16" x14ac:dyDescent="0.2">
      <c r="F20" s="13"/>
      <c r="G20" s="13"/>
      <c r="H20" s="13">
        <f t="shared" si="0"/>
        <v>0</v>
      </c>
      <c r="I20" s="13" t="str">
        <f t="shared" si="1"/>
        <v>Low</v>
      </c>
      <c r="J20" s="13"/>
      <c r="K20" s="13"/>
      <c r="L20" s="13">
        <f t="shared" si="2"/>
        <v>0</v>
      </c>
      <c r="M20" s="13" t="str">
        <f t="shared" si="3"/>
        <v>Low</v>
      </c>
      <c r="N20" s="13"/>
      <c r="O20" s="13"/>
      <c r="P20" s="13"/>
    </row>
    <row r="21" spans="6:16" x14ac:dyDescent="0.2">
      <c r="F21" s="13"/>
      <c r="G21" s="13"/>
      <c r="H21" s="13">
        <f t="shared" si="0"/>
        <v>0</v>
      </c>
      <c r="I21" s="13" t="str">
        <f t="shared" si="1"/>
        <v>Low</v>
      </c>
      <c r="J21" s="13"/>
      <c r="K21" s="13"/>
      <c r="L21" s="13">
        <f t="shared" si="2"/>
        <v>0</v>
      </c>
      <c r="M21" s="13" t="str">
        <f t="shared" si="3"/>
        <v>Low</v>
      </c>
      <c r="N21" s="13"/>
      <c r="O21" s="13"/>
      <c r="P21" s="13"/>
    </row>
    <row r="22" spans="6:16" x14ac:dyDescent="0.2">
      <c r="F22" s="13"/>
      <c r="G22" s="13"/>
      <c r="H22" s="13">
        <f t="shared" si="0"/>
        <v>0</v>
      </c>
      <c r="I22" s="13" t="str">
        <f t="shared" si="1"/>
        <v>Low</v>
      </c>
      <c r="J22" s="13"/>
      <c r="K22" s="13"/>
      <c r="L22" s="13">
        <f t="shared" si="2"/>
        <v>0</v>
      </c>
      <c r="M22" s="13" t="str">
        <f t="shared" si="3"/>
        <v>Low</v>
      </c>
      <c r="N22" s="13"/>
      <c r="O22" s="13"/>
      <c r="P22" s="13"/>
    </row>
    <row r="23" spans="6:16" x14ac:dyDescent="0.2">
      <c r="F23" s="13"/>
      <c r="G23" s="13"/>
      <c r="H23" s="13">
        <f t="shared" si="0"/>
        <v>0</v>
      </c>
      <c r="I23" s="13" t="str">
        <f t="shared" si="1"/>
        <v>Low</v>
      </c>
      <c r="J23" s="13"/>
      <c r="K23" s="13"/>
      <c r="L23" s="13">
        <f t="shared" si="2"/>
        <v>0</v>
      </c>
      <c r="M23" s="13" t="str">
        <f t="shared" si="3"/>
        <v>Low</v>
      </c>
      <c r="N23" s="13"/>
      <c r="O23" s="13"/>
      <c r="P23" s="13"/>
    </row>
    <row r="24" spans="6:16" x14ac:dyDescent="0.2">
      <c r="F24" s="13"/>
      <c r="G24" s="13"/>
      <c r="H24" s="13">
        <f t="shared" si="0"/>
        <v>0</v>
      </c>
      <c r="I24" s="13" t="str">
        <f t="shared" si="1"/>
        <v>Low</v>
      </c>
      <c r="J24" s="13"/>
      <c r="K24" s="13"/>
      <c r="L24" s="13">
        <f t="shared" si="2"/>
        <v>0</v>
      </c>
      <c r="M24" s="13" t="str">
        <f t="shared" si="3"/>
        <v>Low</v>
      </c>
      <c r="N24" s="13"/>
      <c r="O24" s="13"/>
      <c r="P24" s="13"/>
    </row>
    <row r="25" spans="6:16" x14ac:dyDescent="0.2">
      <c r="F25" s="13"/>
      <c r="G25" s="13"/>
      <c r="H25" s="13">
        <f t="shared" si="0"/>
        <v>0</v>
      </c>
      <c r="I25" s="13" t="str">
        <f t="shared" si="1"/>
        <v>Low</v>
      </c>
      <c r="J25" s="13"/>
      <c r="K25" s="13"/>
      <c r="L25" s="13">
        <f t="shared" si="2"/>
        <v>0</v>
      </c>
      <c r="M25" s="13" t="str">
        <f t="shared" si="3"/>
        <v>Low</v>
      </c>
      <c r="N25" s="13"/>
      <c r="O25" s="13"/>
      <c r="P25" s="13"/>
    </row>
    <row r="26" spans="6:16" x14ac:dyDescent="0.2">
      <c r="F26" s="13"/>
      <c r="G26" s="13"/>
      <c r="H26" s="13">
        <f t="shared" si="0"/>
        <v>0</v>
      </c>
      <c r="I26" s="13" t="str">
        <f t="shared" si="1"/>
        <v>Low</v>
      </c>
      <c r="J26" s="13"/>
      <c r="K26" s="13"/>
      <c r="L26" s="13">
        <f t="shared" si="2"/>
        <v>0</v>
      </c>
      <c r="M26" s="13" t="str">
        <f t="shared" si="3"/>
        <v>Low</v>
      </c>
      <c r="N26" s="13"/>
      <c r="O26" s="13"/>
      <c r="P26" s="13"/>
    </row>
    <row r="27" spans="6:16" x14ac:dyDescent="0.2">
      <c r="F27" s="13"/>
      <c r="G27" s="13"/>
      <c r="H27" s="13">
        <f t="shared" si="0"/>
        <v>0</v>
      </c>
      <c r="I27" s="13" t="str">
        <f t="shared" si="1"/>
        <v>Low</v>
      </c>
      <c r="J27" s="13"/>
      <c r="K27" s="13"/>
      <c r="L27" s="13">
        <f t="shared" si="2"/>
        <v>0</v>
      </c>
      <c r="M27" s="13" t="str">
        <f t="shared" si="3"/>
        <v>Low</v>
      </c>
      <c r="N27" s="13"/>
      <c r="O27" s="13"/>
      <c r="P27" s="13"/>
    </row>
    <row r="28" spans="6:16" x14ac:dyDescent="0.2">
      <c r="F28" s="13"/>
      <c r="G28" s="13"/>
      <c r="H28" s="13">
        <f t="shared" si="0"/>
        <v>0</v>
      </c>
      <c r="I28" s="13" t="str">
        <f t="shared" si="1"/>
        <v>Low</v>
      </c>
      <c r="J28" s="13"/>
      <c r="K28" s="13"/>
      <c r="L28" s="13">
        <f t="shared" si="2"/>
        <v>0</v>
      </c>
      <c r="M28" s="13" t="str">
        <f t="shared" si="3"/>
        <v>Low</v>
      </c>
      <c r="N28" s="13"/>
      <c r="O28" s="13"/>
      <c r="P28" s="13"/>
    </row>
    <row r="29" spans="6:16" x14ac:dyDescent="0.2">
      <c r="F29" s="13"/>
      <c r="G29" s="13"/>
      <c r="H29" s="13">
        <f t="shared" si="0"/>
        <v>0</v>
      </c>
      <c r="I29" s="13" t="str">
        <f t="shared" si="1"/>
        <v>Low</v>
      </c>
      <c r="J29" s="13"/>
      <c r="K29" s="13"/>
      <c r="L29" s="13">
        <f t="shared" si="2"/>
        <v>0</v>
      </c>
      <c r="M29" s="13" t="str">
        <f t="shared" si="3"/>
        <v>Low</v>
      </c>
      <c r="N29" s="13"/>
      <c r="O29" s="13"/>
      <c r="P29" s="13"/>
    </row>
    <row r="30" spans="6:16" x14ac:dyDescent="0.2">
      <c r="F30" s="13"/>
      <c r="G30" s="13"/>
      <c r="H30" s="13">
        <f t="shared" si="0"/>
        <v>0</v>
      </c>
      <c r="I30" s="13" t="str">
        <f t="shared" si="1"/>
        <v>Low</v>
      </c>
      <c r="J30" s="13"/>
      <c r="K30" s="13"/>
      <c r="L30" s="13">
        <f t="shared" si="2"/>
        <v>0</v>
      </c>
      <c r="M30" s="13" t="str">
        <f t="shared" si="3"/>
        <v>Low</v>
      </c>
      <c r="N30" s="13"/>
      <c r="O30" s="13"/>
      <c r="P30" s="13"/>
    </row>
    <row r="31" spans="6:16" x14ac:dyDescent="0.2">
      <c r="F31" s="13"/>
      <c r="G31" s="13"/>
      <c r="H31" s="13">
        <f t="shared" si="0"/>
        <v>0</v>
      </c>
      <c r="I31" s="13" t="str">
        <f t="shared" si="1"/>
        <v>Low</v>
      </c>
      <c r="J31" s="13"/>
      <c r="K31" s="13"/>
      <c r="L31" s="13">
        <f t="shared" si="2"/>
        <v>0</v>
      </c>
      <c r="M31" s="13" t="str">
        <f t="shared" si="3"/>
        <v>Low</v>
      </c>
      <c r="N31" s="13"/>
      <c r="O31" s="13"/>
      <c r="P31" s="13"/>
    </row>
    <row r="32" spans="6:16" x14ac:dyDescent="0.2">
      <c r="F32" s="13"/>
      <c r="G32" s="13"/>
      <c r="H32" s="13">
        <f t="shared" si="0"/>
        <v>0</v>
      </c>
      <c r="I32" s="13" t="str">
        <f t="shared" si="1"/>
        <v>Low</v>
      </c>
      <c r="J32" s="13"/>
      <c r="K32" s="13"/>
      <c r="L32" s="13">
        <f t="shared" si="2"/>
        <v>0</v>
      </c>
      <c r="M32" s="13" t="str">
        <f t="shared" si="3"/>
        <v>Low</v>
      </c>
      <c r="N32" s="13"/>
      <c r="O32" s="13"/>
      <c r="P32" s="13"/>
    </row>
    <row r="33" spans="6:16" x14ac:dyDescent="0.2">
      <c r="F33" s="13"/>
      <c r="G33" s="13"/>
      <c r="H33" s="13">
        <f t="shared" si="0"/>
        <v>0</v>
      </c>
      <c r="I33" s="13" t="str">
        <f t="shared" si="1"/>
        <v>Low</v>
      </c>
      <c r="J33" s="13"/>
      <c r="K33" s="13"/>
      <c r="L33" s="13">
        <f t="shared" si="2"/>
        <v>0</v>
      </c>
      <c r="M33" s="13" t="str">
        <f t="shared" si="3"/>
        <v>Low</v>
      </c>
      <c r="N33" s="13"/>
      <c r="O33" s="13"/>
      <c r="P33" s="13"/>
    </row>
    <row r="34" spans="6:16" x14ac:dyDescent="0.2">
      <c r="F34" s="13"/>
      <c r="G34" s="13"/>
      <c r="H34" s="13">
        <f t="shared" si="0"/>
        <v>0</v>
      </c>
      <c r="I34" s="13" t="str">
        <f t="shared" si="1"/>
        <v>Low</v>
      </c>
      <c r="J34" s="13"/>
      <c r="K34" s="13"/>
      <c r="L34" s="13">
        <f t="shared" si="2"/>
        <v>0</v>
      </c>
      <c r="M34" s="13" t="str">
        <f t="shared" si="3"/>
        <v>Low</v>
      </c>
      <c r="N34" s="13"/>
      <c r="O34" s="13"/>
      <c r="P34" s="13"/>
    </row>
    <row r="35" spans="6:16" x14ac:dyDescent="0.2">
      <c r="F35" s="13"/>
      <c r="G35" s="13"/>
      <c r="H35" s="13">
        <f t="shared" si="0"/>
        <v>0</v>
      </c>
      <c r="I35" s="13" t="str">
        <f t="shared" si="1"/>
        <v>Low</v>
      </c>
      <c r="J35" s="13"/>
      <c r="K35" s="13"/>
      <c r="L35" s="13">
        <f t="shared" si="2"/>
        <v>0</v>
      </c>
      <c r="M35" s="13" t="str">
        <f t="shared" si="3"/>
        <v>Low</v>
      </c>
      <c r="N35" s="13"/>
      <c r="O35" s="13"/>
      <c r="P35" s="13"/>
    </row>
    <row r="36" spans="6:16" x14ac:dyDescent="0.2">
      <c r="F36" s="13"/>
      <c r="G36" s="13"/>
      <c r="H36" s="13">
        <f t="shared" si="0"/>
        <v>0</v>
      </c>
      <c r="I36" s="13" t="str">
        <f t="shared" si="1"/>
        <v>Low</v>
      </c>
      <c r="J36" s="13"/>
      <c r="K36" s="13"/>
      <c r="L36" s="13">
        <f t="shared" si="2"/>
        <v>0</v>
      </c>
      <c r="M36" s="13" t="str">
        <f t="shared" si="3"/>
        <v>Low</v>
      </c>
    </row>
    <row r="37" spans="6:16" x14ac:dyDescent="0.2">
      <c r="F37" s="13"/>
      <c r="G37" s="13"/>
      <c r="H37" s="13">
        <f t="shared" si="0"/>
        <v>0</v>
      </c>
      <c r="I37" s="13" t="str">
        <f t="shared" si="1"/>
        <v>Low</v>
      </c>
      <c r="J37" s="13"/>
      <c r="K37" s="13"/>
      <c r="L37" s="13">
        <f t="shared" si="2"/>
        <v>0</v>
      </c>
      <c r="M37" s="13" t="str">
        <f t="shared" si="3"/>
        <v>Low</v>
      </c>
    </row>
    <row r="38" spans="6:16" x14ac:dyDescent="0.2">
      <c r="F38" s="13"/>
      <c r="G38" s="13"/>
      <c r="H38" s="13">
        <f t="shared" si="0"/>
        <v>0</v>
      </c>
      <c r="I38" s="13" t="str">
        <f t="shared" si="1"/>
        <v>Low</v>
      </c>
      <c r="J38" s="13"/>
      <c r="K38" s="13"/>
      <c r="L38" s="13">
        <f t="shared" si="2"/>
        <v>0</v>
      </c>
      <c r="M38" s="13" t="str">
        <f t="shared" si="3"/>
        <v>Low</v>
      </c>
    </row>
    <row r="39" spans="6:16" x14ac:dyDescent="0.2">
      <c r="F39" s="13"/>
      <c r="G39" s="13"/>
      <c r="H39" s="13">
        <f t="shared" si="0"/>
        <v>0</v>
      </c>
      <c r="I39" s="13" t="str">
        <f t="shared" si="1"/>
        <v>Low</v>
      </c>
      <c r="J39" s="13"/>
      <c r="K39" s="13"/>
      <c r="L39" s="13">
        <f t="shared" si="2"/>
        <v>0</v>
      </c>
      <c r="M39" s="13" t="str">
        <f t="shared" si="3"/>
        <v>Low</v>
      </c>
    </row>
    <row r="40" spans="6:16" x14ac:dyDescent="0.2">
      <c r="F40" s="13"/>
      <c r="G40" s="13"/>
      <c r="H40" s="13">
        <f t="shared" si="0"/>
        <v>0</v>
      </c>
      <c r="I40" s="13" t="str">
        <f t="shared" si="1"/>
        <v>Low</v>
      </c>
      <c r="J40" s="13"/>
      <c r="K40" s="13"/>
      <c r="L40" s="13">
        <f t="shared" si="2"/>
        <v>0</v>
      </c>
      <c r="M40" s="13" t="str">
        <f t="shared" si="3"/>
        <v>Low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9498-2B19-194B-AB56-B8B827E5A632}">
  <dimension ref="A1:N35"/>
  <sheetViews>
    <sheetView topLeftCell="A17" workbookViewId="0">
      <selection activeCell="O33" sqref="O33"/>
    </sheetView>
  </sheetViews>
  <sheetFormatPr baseColWidth="10" defaultRowHeight="16" x14ac:dyDescent="0.2"/>
  <cols>
    <col min="1" max="2" width="11.33203125" customWidth="1"/>
    <col min="3" max="3" width="22.33203125" bestFit="1" customWidth="1"/>
    <col min="5" max="5" width="14.5" customWidth="1"/>
    <col min="12" max="12" width="11.33203125" customWidth="1"/>
    <col min="13" max="13" width="19.1640625" bestFit="1" customWidth="1"/>
    <col min="14" max="14" width="19.5" bestFit="1" customWidth="1"/>
  </cols>
  <sheetData>
    <row r="1" spans="1:14" ht="16" customHeight="1" x14ac:dyDescent="0.2">
      <c r="A1" s="44" t="s">
        <v>303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spans="1:14" x14ac:dyDescent="0.2">
      <c r="A4" s="18" t="s">
        <v>304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2">
      <c r="A5" s="20" t="s">
        <v>305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4" x14ac:dyDescent="0.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4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4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2" spans="1:14" x14ac:dyDescent="0.2">
      <c r="A12" s="42" t="s">
        <v>306</v>
      </c>
      <c r="B12" s="43" t="s">
        <v>307</v>
      </c>
      <c r="C12" s="43"/>
      <c r="D12" s="43"/>
      <c r="E12" s="43"/>
      <c r="F12" s="43"/>
      <c r="G12" s="43"/>
      <c r="H12" s="43"/>
      <c r="I12" s="43"/>
      <c r="J12" s="43"/>
      <c r="L12" t="s">
        <v>136</v>
      </c>
      <c r="M12" t="s">
        <v>318</v>
      </c>
      <c r="N12" t="s">
        <v>319</v>
      </c>
    </row>
    <row r="13" spans="1:14" x14ac:dyDescent="0.2">
      <c r="A13" s="1" t="s">
        <v>308</v>
      </c>
      <c r="B13" s="35" t="s">
        <v>313</v>
      </c>
      <c r="C13" s="35"/>
      <c r="D13" s="35"/>
      <c r="E13" s="35"/>
      <c r="F13" s="35"/>
      <c r="G13" s="35"/>
      <c r="H13" s="35"/>
      <c r="I13" s="35"/>
      <c r="J13" s="35"/>
      <c r="L13" t="s">
        <v>49</v>
      </c>
      <c r="M13" s="4">
        <v>5</v>
      </c>
      <c r="N13" s="4">
        <v>0</v>
      </c>
    </row>
    <row r="14" spans="1:14" x14ac:dyDescent="0.2">
      <c r="A14" s="1" t="s">
        <v>309</v>
      </c>
      <c r="B14" s="35" t="s">
        <v>314</v>
      </c>
      <c r="C14" s="35"/>
      <c r="D14" s="35"/>
      <c r="E14" s="35"/>
      <c r="F14" s="35"/>
      <c r="G14" s="35"/>
      <c r="H14" s="35"/>
      <c r="I14" s="35"/>
      <c r="J14" s="35"/>
      <c r="L14" t="s">
        <v>44</v>
      </c>
      <c r="M14" s="4">
        <v>8</v>
      </c>
      <c r="N14" s="4">
        <v>4</v>
      </c>
    </row>
    <row r="15" spans="1:14" x14ac:dyDescent="0.2">
      <c r="A15" s="1" t="s">
        <v>310</v>
      </c>
      <c r="B15" s="35" t="s">
        <v>315</v>
      </c>
      <c r="C15" s="35"/>
      <c r="D15" s="35"/>
      <c r="E15" s="35"/>
      <c r="F15" s="35"/>
      <c r="G15" s="35"/>
      <c r="H15" s="35"/>
      <c r="I15" s="35"/>
      <c r="J15" s="35"/>
      <c r="L15" t="s">
        <v>64</v>
      </c>
      <c r="M15" s="13">
        <v>2</v>
      </c>
      <c r="N15" s="13">
        <v>11</v>
      </c>
    </row>
    <row r="16" spans="1:14" x14ac:dyDescent="0.2">
      <c r="A16" s="1" t="s">
        <v>311</v>
      </c>
      <c r="B16" s="35" t="s">
        <v>316</v>
      </c>
      <c r="C16" s="35"/>
      <c r="D16" s="35"/>
      <c r="E16" s="35"/>
      <c r="F16" s="35"/>
      <c r="G16" s="35"/>
      <c r="H16" s="35"/>
      <c r="I16" s="35"/>
      <c r="J16" s="35"/>
      <c r="L16" t="s">
        <v>142</v>
      </c>
      <c r="M16" s="13">
        <v>0</v>
      </c>
      <c r="N16" s="13">
        <v>0</v>
      </c>
    </row>
    <row r="17" spans="1:13" x14ac:dyDescent="0.2">
      <c r="A17" s="1" t="s">
        <v>312</v>
      </c>
      <c r="B17" s="35" t="s">
        <v>317</v>
      </c>
      <c r="C17" s="35"/>
      <c r="D17" s="35"/>
      <c r="E17" s="35"/>
      <c r="F17" s="35"/>
      <c r="G17" s="35"/>
      <c r="H17" s="35"/>
      <c r="I17" s="35"/>
      <c r="J17" s="35"/>
    </row>
    <row r="18" spans="1:13" x14ac:dyDescent="0.2">
      <c r="B18" s="41"/>
      <c r="C18" s="41"/>
      <c r="D18" s="41"/>
      <c r="E18" s="41"/>
      <c r="F18" s="41"/>
      <c r="G18" s="41"/>
      <c r="H18" s="41"/>
      <c r="I18" s="41"/>
      <c r="J18" s="41"/>
    </row>
    <row r="21" spans="1:13" x14ac:dyDescent="0.2">
      <c r="A21" s="46" t="s">
        <v>320</v>
      </c>
      <c r="B21" s="46" t="s">
        <v>172</v>
      </c>
      <c r="C21" s="46" t="s">
        <v>321</v>
      </c>
      <c r="D21" s="47" t="s">
        <v>322</v>
      </c>
      <c r="E21" s="47"/>
      <c r="F21" s="46" t="s">
        <v>323</v>
      </c>
      <c r="H21" s="50" t="s">
        <v>334</v>
      </c>
      <c r="I21" s="50"/>
      <c r="J21" s="50" t="s">
        <v>335</v>
      </c>
      <c r="K21" s="50"/>
      <c r="L21" s="50" t="s">
        <v>336</v>
      </c>
      <c r="M21" s="50"/>
    </row>
    <row r="22" spans="1:13" ht="32" customHeight="1" x14ac:dyDescent="0.2">
      <c r="A22" s="15">
        <v>1</v>
      </c>
      <c r="B22" s="15" t="s">
        <v>188</v>
      </c>
      <c r="C22" s="15" t="s">
        <v>324</v>
      </c>
      <c r="D22" s="48" t="s">
        <v>329</v>
      </c>
      <c r="E22" s="48"/>
      <c r="F22" s="15" t="s">
        <v>49</v>
      </c>
      <c r="H22" s="51" t="s">
        <v>337</v>
      </c>
      <c r="I22" s="51"/>
      <c r="J22" s="48" t="s">
        <v>344</v>
      </c>
      <c r="K22" s="48"/>
      <c r="L22" s="48" t="s">
        <v>351</v>
      </c>
      <c r="M22" s="48"/>
    </row>
    <row r="23" spans="1:13" ht="30" customHeight="1" x14ac:dyDescent="0.2">
      <c r="A23" s="15">
        <v>2</v>
      </c>
      <c r="B23" s="15" t="s">
        <v>192</v>
      </c>
      <c r="C23" s="15" t="s">
        <v>325</v>
      </c>
      <c r="D23" s="48" t="s">
        <v>330</v>
      </c>
      <c r="E23" s="48"/>
      <c r="F23" s="15" t="s">
        <v>49</v>
      </c>
      <c r="H23" s="51" t="s">
        <v>338</v>
      </c>
      <c r="I23" s="51"/>
      <c r="J23" s="48" t="s">
        <v>345</v>
      </c>
      <c r="K23" s="48"/>
      <c r="L23" s="48" t="s">
        <v>352</v>
      </c>
      <c r="M23" s="48"/>
    </row>
    <row r="24" spans="1:13" ht="47" customHeight="1" x14ac:dyDescent="0.2">
      <c r="A24" s="15">
        <v>3</v>
      </c>
      <c r="B24" s="15" t="s">
        <v>210</v>
      </c>
      <c r="C24" s="49" t="s">
        <v>326</v>
      </c>
      <c r="D24" s="48" t="s">
        <v>331</v>
      </c>
      <c r="E24" s="48"/>
      <c r="F24" s="15" t="s">
        <v>49</v>
      </c>
      <c r="H24" s="51" t="s">
        <v>339</v>
      </c>
      <c r="I24" s="51"/>
      <c r="J24" s="48" t="s">
        <v>346</v>
      </c>
      <c r="K24" s="48"/>
      <c r="L24" s="48" t="s">
        <v>353</v>
      </c>
      <c r="M24" s="48"/>
    </row>
    <row r="25" spans="1:13" ht="48" customHeight="1" x14ac:dyDescent="0.2">
      <c r="A25" s="15">
        <v>4</v>
      </c>
      <c r="B25" s="15" t="s">
        <v>211</v>
      </c>
      <c r="C25" s="15" t="s">
        <v>327</v>
      </c>
      <c r="D25" s="48" t="s">
        <v>332</v>
      </c>
      <c r="E25" s="48"/>
      <c r="F25" s="15" t="s">
        <v>44</v>
      </c>
      <c r="H25" s="51" t="s">
        <v>340</v>
      </c>
      <c r="I25" s="51"/>
      <c r="J25" s="48" t="s">
        <v>347</v>
      </c>
      <c r="K25" s="48"/>
      <c r="L25" s="48" t="s">
        <v>354</v>
      </c>
      <c r="M25" s="48"/>
    </row>
    <row r="26" spans="1:13" ht="39" customHeight="1" x14ac:dyDescent="0.2">
      <c r="A26" s="15">
        <v>5</v>
      </c>
      <c r="B26" s="15" t="s">
        <v>212</v>
      </c>
      <c r="C26" s="15" t="s">
        <v>328</v>
      </c>
      <c r="D26" s="48" t="s">
        <v>333</v>
      </c>
      <c r="E26" s="48"/>
      <c r="F26" s="15" t="s">
        <v>44</v>
      </c>
      <c r="H26" s="51" t="s">
        <v>341</v>
      </c>
      <c r="I26" s="51"/>
      <c r="J26" s="48" t="s">
        <v>348</v>
      </c>
      <c r="K26" s="48"/>
      <c r="L26" s="48" t="s">
        <v>355</v>
      </c>
      <c r="M26" s="48"/>
    </row>
    <row r="27" spans="1:13" ht="32" customHeight="1" x14ac:dyDescent="0.2">
      <c r="H27" s="51" t="s">
        <v>342</v>
      </c>
      <c r="I27" s="51"/>
      <c r="J27" s="48" t="s">
        <v>349</v>
      </c>
      <c r="K27" s="48"/>
      <c r="L27" s="48" t="s">
        <v>356</v>
      </c>
      <c r="M27" s="48"/>
    </row>
    <row r="28" spans="1:13" ht="45" customHeight="1" x14ac:dyDescent="0.2">
      <c r="H28" s="51" t="s">
        <v>343</v>
      </c>
      <c r="I28" s="51"/>
      <c r="J28" s="48" t="s">
        <v>350</v>
      </c>
      <c r="K28" s="48"/>
      <c r="L28" s="48" t="s">
        <v>357</v>
      </c>
      <c r="M28" s="48"/>
    </row>
    <row r="30" spans="1:13" x14ac:dyDescent="0.2">
      <c r="A30" s="39" t="s">
        <v>358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spans="1:13" x14ac:dyDescent="0.2">
      <c r="A31" s="45" t="s">
        <v>359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3" x14ac:dyDescent="0.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1:13" x14ac:dyDescent="0.2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1:13" x14ac:dyDescent="0.2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1:13" ht="49" customHeight="1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</sheetData>
  <mergeCells count="41">
    <mergeCell ref="H28:I28"/>
    <mergeCell ref="J28:K28"/>
    <mergeCell ref="L28:M28"/>
    <mergeCell ref="A30:M30"/>
    <mergeCell ref="A31:M35"/>
    <mergeCell ref="L24:M24"/>
    <mergeCell ref="L25:M25"/>
    <mergeCell ref="J26:K26"/>
    <mergeCell ref="L26:M26"/>
    <mergeCell ref="H27:I27"/>
    <mergeCell ref="J27:K27"/>
    <mergeCell ref="L27:M27"/>
    <mergeCell ref="H24:I24"/>
    <mergeCell ref="H25:I25"/>
    <mergeCell ref="H26:I26"/>
    <mergeCell ref="J22:K22"/>
    <mergeCell ref="J23:K23"/>
    <mergeCell ref="J24:K24"/>
    <mergeCell ref="J25:K25"/>
    <mergeCell ref="H21:I21"/>
    <mergeCell ref="J21:K21"/>
    <mergeCell ref="L21:M21"/>
    <mergeCell ref="H22:I22"/>
    <mergeCell ref="H23:I23"/>
    <mergeCell ref="L22:M22"/>
    <mergeCell ref="L23:M23"/>
    <mergeCell ref="D21:E21"/>
    <mergeCell ref="D22:E22"/>
    <mergeCell ref="D23:E23"/>
    <mergeCell ref="D24:E24"/>
    <mergeCell ref="D25:E25"/>
    <mergeCell ref="D26:E26"/>
    <mergeCell ref="B13:J13"/>
    <mergeCell ref="B12:J12"/>
    <mergeCell ref="B14:J14"/>
    <mergeCell ref="B15:J15"/>
    <mergeCell ref="B16:J16"/>
    <mergeCell ref="B17:J17"/>
    <mergeCell ref="A1:N2"/>
    <mergeCell ref="A4:N4"/>
    <mergeCell ref="A5:N9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Company profile</vt:lpstr>
      <vt:lpstr>Risk Methodology</vt:lpstr>
      <vt:lpstr>Risk registrer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DE ZANET</dc:creator>
  <cp:lastModifiedBy>FABIO DE ZANET</cp:lastModifiedBy>
  <dcterms:created xsi:type="dcterms:W3CDTF">2026-07-16T15:14:42Z</dcterms:created>
  <dcterms:modified xsi:type="dcterms:W3CDTF">2026-07-24T16:10:09Z</dcterms:modified>
</cp:coreProperties>
</file>